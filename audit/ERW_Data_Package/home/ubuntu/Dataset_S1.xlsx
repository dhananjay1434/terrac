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jakejordan/Desktop/Publications/Springer_Nature_LaTeX_FOOD/Template/"/>
    </mc:Choice>
  </mc:AlternateContent>
  <xr:revisionPtr revIDLastSave="0" documentId="8_{435DC2D5-DC2C-614F-8F7A-54D0F7E1ECE5}" xr6:coauthVersionLast="47" xr6:coauthVersionMax="47" xr10:uidLastSave="{00000000-0000-0000-0000-000000000000}"/>
  <bookViews>
    <workbookView xWindow="0" yWindow="760" windowWidth="30240" windowHeight="17820" tabRatio="500" activeTab="6" xr2:uid="{00000000-000D-0000-FFFF-FFFF00000000}"/>
  </bookViews>
  <sheets>
    <sheet name="References" sheetId="1" r:id="rId1"/>
    <sheet name="Assumptions" sheetId="2" r:id="rId2"/>
    <sheet name="Net Income Calculation" sheetId="3" r:id="rId3"/>
    <sheet name="Table 1" sheetId="4" r:id="rId4"/>
    <sheet name="Figure 1c" sheetId="5" r:id="rId5"/>
    <sheet name="Base wise Kharif 2025" sheetId="6" r:id="rId6"/>
    <sheet name="Dataset S1" sheetId="7" r:id="rId7"/>
  </sheets>
  <externalReferences>
    <externalReference r:id="rId8"/>
  </externalReferences>
  <definedNames>
    <definedName name="_xlnm._FilterDatabase" localSheetId="4" hidden="1">'Figure 1c'!$A$1:$T$217</definedName>
  </definedNames>
  <calcPr calcId="191029" iterateDelta="1E-4"/>
  <pivotCaches>
    <pivotCache cacheId="0" r:id="rId9"/>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7" i="5" l="1"/>
  <c r="R217" i="5"/>
  <c r="K217" i="5"/>
  <c r="O217" i="5" s="1"/>
  <c r="J217" i="5"/>
  <c r="S216" i="5"/>
  <c r="R216" i="5"/>
  <c r="K216" i="5"/>
  <c r="O216" i="5" s="1"/>
  <c r="J216" i="5"/>
  <c r="S215" i="5"/>
  <c r="R215" i="5"/>
  <c r="K215" i="5"/>
  <c r="O215" i="5" s="1"/>
  <c r="J215" i="5"/>
  <c r="S214" i="5"/>
  <c r="R214" i="5"/>
  <c r="K214" i="5"/>
  <c r="O214" i="5" s="1"/>
  <c r="J214" i="5"/>
  <c r="S213" i="5"/>
  <c r="R213" i="5"/>
  <c r="K213" i="5"/>
  <c r="O213" i="5" s="1"/>
  <c r="J213" i="5"/>
  <c r="S212" i="5"/>
  <c r="R212" i="5"/>
  <c r="K212" i="5"/>
  <c r="O212" i="5" s="1"/>
  <c r="J212" i="5"/>
  <c r="S211" i="5"/>
  <c r="R211" i="5"/>
  <c r="K211" i="5"/>
  <c r="O211" i="5" s="1"/>
  <c r="J211" i="5"/>
  <c r="S210" i="5"/>
  <c r="R210" i="5"/>
  <c r="K210" i="5"/>
  <c r="O210" i="5" s="1"/>
  <c r="J210" i="5"/>
  <c r="S209" i="5"/>
  <c r="R209" i="5"/>
  <c r="K209" i="5"/>
  <c r="O209" i="5" s="1"/>
  <c r="J209" i="5"/>
  <c r="S208" i="5"/>
  <c r="R208" i="5"/>
  <c r="K208" i="5"/>
  <c r="O208" i="5" s="1"/>
  <c r="J208" i="5"/>
  <c r="S207" i="5"/>
  <c r="R207" i="5"/>
  <c r="K207" i="5"/>
  <c r="O207" i="5" s="1"/>
  <c r="J207" i="5"/>
  <c r="S206" i="5"/>
  <c r="R206" i="5"/>
  <c r="K206" i="5"/>
  <c r="O206" i="5" s="1"/>
  <c r="J206" i="5"/>
  <c r="S205" i="5"/>
  <c r="R205" i="5"/>
  <c r="K205" i="5"/>
  <c r="O205" i="5" s="1"/>
  <c r="J205" i="5"/>
  <c r="S204" i="5"/>
  <c r="R204" i="5"/>
  <c r="K204" i="5"/>
  <c r="O204" i="5" s="1"/>
  <c r="J204" i="5"/>
  <c r="S203" i="5"/>
  <c r="R203" i="5"/>
  <c r="K203" i="5"/>
  <c r="O203" i="5" s="1"/>
  <c r="J203" i="5"/>
  <c r="S202" i="5"/>
  <c r="R202" i="5"/>
  <c r="K202" i="5"/>
  <c r="O202" i="5" s="1"/>
  <c r="J202" i="5"/>
  <c r="S201" i="5"/>
  <c r="R201" i="5"/>
  <c r="K201" i="5"/>
  <c r="O201" i="5" s="1"/>
  <c r="J201" i="5"/>
  <c r="S200" i="5"/>
  <c r="R200" i="5"/>
  <c r="K200" i="5"/>
  <c r="O200" i="5" s="1"/>
  <c r="J200" i="5"/>
  <c r="S199" i="5"/>
  <c r="R199" i="5"/>
  <c r="K199" i="5"/>
  <c r="O199" i="5" s="1"/>
  <c r="J199" i="5"/>
  <c r="S198" i="5"/>
  <c r="R198" i="5"/>
  <c r="K198" i="5"/>
  <c r="O198" i="5" s="1"/>
  <c r="J198" i="5"/>
  <c r="S197" i="5"/>
  <c r="R197" i="5"/>
  <c r="K197" i="5"/>
  <c r="O197" i="5" s="1"/>
  <c r="J197" i="5"/>
  <c r="S196" i="5"/>
  <c r="R196" i="5"/>
  <c r="O196" i="5"/>
  <c r="N196" i="5"/>
  <c r="P196" i="5" s="1"/>
  <c r="Q196" i="5" s="1"/>
  <c r="L196" i="5"/>
  <c r="M196" i="5" s="1"/>
  <c r="K196" i="5"/>
  <c r="J196" i="5"/>
  <c r="S195" i="5"/>
  <c r="R195" i="5"/>
  <c r="K195" i="5"/>
  <c r="O195" i="5" s="1"/>
  <c r="J195" i="5"/>
  <c r="S194" i="5"/>
  <c r="R194" i="5"/>
  <c r="K194" i="5"/>
  <c r="O194" i="5" s="1"/>
  <c r="J194" i="5"/>
  <c r="S193" i="5"/>
  <c r="R193" i="5"/>
  <c r="K193" i="5"/>
  <c r="O193" i="5" s="1"/>
  <c r="J193" i="5"/>
  <c r="S192" i="5"/>
  <c r="R192" i="5"/>
  <c r="K192" i="5"/>
  <c r="O192" i="5" s="1"/>
  <c r="J192" i="5"/>
  <c r="S191" i="5"/>
  <c r="R191" i="5"/>
  <c r="K191" i="5"/>
  <c r="O191" i="5" s="1"/>
  <c r="J191" i="5"/>
  <c r="S190" i="5"/>
  <c r="R190" i="5"/>
  <c r="K190" i="5"/>
  <c r="O190" i="5" s="1"/>
  <c r="J190" i="5"/>
  <c r="S189" i="5"/>
  <c r="R189" i="5"/>
  <c r="K189" i="5"/>
  <c r="O189" i="5" s="1"/>
  <c r="J189" i="5"/>
  <c r="S188" i="5"/>
  <c r="R188" i="5"/>
  <c r="K188" i="5"/>
  <c r="O188" i="5" s="1"/>
  <c r="J188" i="5"/>
  <c r="S187" i="5"/>
  <c r="R187" i="5"/>
  <c r="K187" i="5"/>
  <c r="O187" i="5" s="1"/>
  <c r="J187" i="5"/>
  <c r="S186" i="5"/>
  <c r="R186" i="5"/>
  <c r="K186" i="5"/>
  <c r="O186" i="5" s="1"/>
  <c r="J186" i="5"/>
  <c r="S185" i="5"/>
  <c r="R185" i="5"/>
  <c r="K185" i="5"/>
  <c r="O185" i="5" s="1"/>
  <c r="J185" i="5"/>
  <c r="S184" i="5"/>
  <c r="R184" i="5"/>
  <c r="K184" i="5"/>
  <c r="O184" i="5" s="1"/>
  <c r="J184" i="5"/>
  <c r="S183" i="5"/>
  <c r="R183" i="5"/>
  <c r="K183" i="5"/>
  <c r="O183" i="5" s="1"/>
  <c r="J183" i="5"/>
  <c r="S182" i="5"/>
  <c r="R182" i="5"/>
  <c r="K182" i="5"/>
  <c r="O182" i="5" s="1"/>
  <c r="J182" i="5"/>
  <c r="S181" i="5"/>
  <c r="R181" i="5"/>
  <c r="K181" i="5"/>
  <c r="O181" i="5" s="1"/>
  <c r="J181" i="5"/>
  <c r="S180" i="5"/>
  <c r="R180" i="5"/>
  <c r="K180" i="5"/>
  <c r="O180" i="5" s="1"/>
  <c r="J180" i="5"/>
  <c r="S179" i="5"/>
  <c r="R179" i="5"/>
  <c r="K179" i="5"/>
  <c r="O179" i="5" s="1"/>
  <c r="J179" i="5"/>
  <c r="S178" i="5"/>
  <c r="R178" i="5"/>
  <c r="K178" i="5"/>
  <c r="O178" i="5" s="1"/>
  <c r="J178" i="5"/>
  <c r="S177" i="5"/>
  <c r="R177" i="5"/>
  <c r="K177" i="5"/>
  <c r="O177" i="5" s="1"/>
  <c r="J177" i="5"/>
  <c r="S176" i="5"/>
  <c r="R176" i="5"/>
  <c r="K176" i="5"/>
  <c r="O176" i="5" s="1"/>
  <c r="J176" i="5"/>
  <c r="S175" i="5"/>
  <c r="R175" i="5"/>
  <c r="K175" i="5"/>
  <c r="O175" i="5" s="1"/>
  <c r="J175" i="5"/>
  <c r="S174" i="5"/>
  <c r="R174" i="5"/>
  <c r="O174" i="5"/>
  <c r="N174" i="5"/>
  <c r="P174" i="5" s="1"/>
  <c r="Q174" i="5" s="1"/>
  <c r="K174" i="5"/>
  <c r="J174" i="5"/>
  <c r="L174" i="5" s="1"/>
  <c r="M174" i="5" s="1"/>
  <c r="S173" i="5"/>
  <c r="R173" i="5"/>
  <c r="K173" i="5"/>
  <c r="O173" i="5" s="1"/>
  <c r="J173" i="5"/>
  <c r="S172" i="5"/>
  <c r="R172" i="5"/>
  <c r="K172" i="5"/>
  <c r="O172" i="5" s="1"/>
  <c r="J172" i="5"/>
  <c r="S171" i="5"/>
  <c r="R171" i="5"/>
  <c r="K171" i="5"/>
  <c r="O171" i="5" s="1"/>
  <c r="J171" i="5"/>
  <c r="S170" i="5"/>
  <c r="R170" i="5"/>
  <c r="K170" i="5"/>
  <c r="O170" i="5" s="1"/>
  <c r="J170" i="5"/>
  <c r="S169" i="5"/>
  <c r="R169" i="5"/>
  <c r="K169" i="5"/>
  <c r="O169" i="5" s="1"/>
  <c r="J169" i="5"/>
  <c r="S168" i="5"/>
  <c r="R168" i="5"/>
  <c r="K168" i="5"/>
  <c r="O168" i="5" s="1"/>
  <c r="J168" i="5"/>
  <c r="K167" i="5"/>
  <c r="O167" i="5" s="1"/>
  <c r="J167" i="5"/>
  <c r="K166" i="5"/>
  <c r="O166" i="5" s="1"/>
  <c r="J166" i="5"/>
  <c r="S165" i="5"/>
  <c r="R165" i="5"/>
  <c r="K165" i="5"/>
  <c r="O165" i="5" s="1"/>
  <c r="J165" i="5"/>
  <c r="S164" i="5"/>
  <c r="R164" i="5"/>
  <c r="K164" i="5"/>
  <c r="O164" i="5" s="1"/>
  <c r="J164" i="5"/>
  <c r="S163" i="5"/>
  <c r="R163" i="5"/>
  <c r="K163" i="5"/>
  <c r="O163" i="5" s="1"/>
  <c r="J163" i="5"/>
  <c r="S162" i="5"/>
  <c r="R162" i="5"/>
  <c r="K162" i="5"/>
  <c r="O162" i="5" s="1"/>
  <c r="J162" i="5"/>
  <c r="S161" i="5"/>
  <c r="R161" i="5"/>
  <c r="K161" i="5"/>
  <c r="O161" i="5" s="1"/>
  <c r="J161" i="5"/>
  <c r="S160" i="5"/>
  <c r="R160" i="5"/>
  <c r="K160" i="5"/>
  <c r="O160" i="5" s="1"/>
  <c r="J160" i="5"/>
  <c r="S159" i="5"/>
  <c r="R159" i="5"/>
  <c r="K159" i="5"/>
  <c r="O159" i="5" s="1"/>
  <c r="J159" i="5"/>
  <c r="S158" i="5"/>
  <c r="R158" i="5"/>
  <c r="K158" i="5"/>
  <c r="O158" i="5" s="1"/>
  <c r="J158" i="5"/>
  <c r="S157" i="5"/>
  <c r="R157" i="5"/>
  <c r="K157" i="5"/>
  <c r="O157" i="5" s="1"/>
  <c r="J157" i="5"/>
  <c r="S156" i="5"/>
  <c r="R156" i="5"/>
  <c r="K156" i="5"/>
  <c r="O156" i="5" s="1"/>
  <c r="J156" i="5"/>
  <c r="K155" i="5"/>
  <c r="O155" i="5" s="1"/>
  <c r="J155" i="5"/>
  <c r="S154" i="5"/>
  <c r="R154" i="5"/>
  <c r="K154" i="5"/>
  <c r="O154" i="5" s="1"/>
  <c r="J154" i="5"/>
  <c r="S153" i="5"/>
  <c r="R153" i="5"/>
  <c r="K153" i="5"/>
  <c r="O153" i="5" s="1"/>
  <c r="J153" i="5"/>
  <c r="S152" i="5"/>
  <c r="R152" i="5"/>
  <c r="K152" i="5"/>
  <c r="O152" i="5" s="1"/>
  <c r="J152" i="5"/>
  <c r="S151" i="5"/>
  <c r="R151" i="5"/>
  <c r="K151" i="5"/>
  <c r="O151" i="5" s="1"/>
  <c r="J151" i="5"/>
  <c r="S150" i="5"/>
  <c r="R150" i="5"/>
  <c r="K150" i="5"/>
  <c r="O150" i="5" s="1"/>
  <c r="J150" i="5"/>
  <c r="S149" i="5"/>
  <c r="R149" i="5"/>
  <c r="K149" i="5"/>
  <c r="O149" i="5" s="1"/>
  <c r="J149" i="5"/>
  <c r="S148" i="5"/>
  <c r="R148" i="5"/>
  <c r="K148" i="5"/>
  <c r="O148" i="5" s="1"/>
  <c r="J148" i="5"/>
  <c r="S147" i="5"/>
  <c r="R147" i="5"/>
  <c r="K147" i="5"/>
  <c r="O147" i="5" s="1"/>
  <c r="J147" i="5"/>
  <c r="S146" i="5"/>
  <c r="R146" i="5"/>
  <c r="K146" i="5"/>
  <c r="O146" i="5" s="1"/>
  <c r="J146" i="5"/>
  <c r="K145" i="5"/>
  <c r="O145" i="5" s="1"/>
  <c r="J145" i="5"/>
  <c r="K144" i="5"/>
  <c r="O144" i="5" s="1"/>
  <c r="J144" i="5"/>
  <c r="S143" i="5"/>
  <c r="R143" i="5"/>
  <c r="K143" i="5"/>
  <c r="O143" i="5" s="1"/>
  <c r="J143" i="5"/>
  <c r="S142" i="5"/>
  <c r="R142" i="5"/>
  <c r="K142" i="5"/>
  <c r="O142" i="5" s="1"/>
  <c r="J142" i="5"/>
  <c r="S141" i="5"/>
  <c r="R141" i="5"/>
  <c r="K141" i="5"/>
  <c r="O141" i="5" s="1"/>
  <c r="J141" i="5"/>
  <c r="S140" i="5"/>
  <c r="R140" i="5"/>
  <c r="K140" i="5"/>
  <c r="O140" i="5" s="1"/>
  <c r="J140" i="5"/>
  <c r="K139" i="5"/>
  <c r="O139" i="5" s="1"/>
  <c r="J139" i="5"/>
  <c r="S138" i="5"/>
  <c r="R138" i="5"/>
  <c r="K138" i="5"/>
  <c r="O138" i="5" s="1"/>
  <c r="J138" i="5"/>
  <c r="S137" i="5"/>
  <c r="R137" i="5"/>
  <c r="K137" i="5"/>
  <c r="O137" i="5" s="1"/>
  <c r="J137" i="5"/>
  <c r="S136" i="5"/>
  <c r="R136" i="5"/>
  <c r="K136" i="5"/>
  <c r="O136" i="5" s="1"/>
  <c r="J136" i="5"/>
  <c r="S135" i="5"/>
  <c r="R135" i="5"/>
  <c r="K135" i="5"/>
  <c r="O135" i="5" s="1"/>
  <c r="J135" i="5"/>
  <c r="S134" i="5"/>
  <c r="R134" i="5"/>
  <c r="K134" i="5"/>
  <c r="O134" i="5" s="1"/>
  <c r="J134" i="5"/>
  <c r="S133" i="5"/>
  <c r="R133" i="5"/>
  <c r="K133" i="5"/>
  <c r="O133" i="5" s="1"/>
  <c r="J133" i="5"/>
  <c r="S132" i="5"/>
  <c r="R132" i="5"/>
  <c r="K132" i="5"/>
  <c r="O132" i="5" s="1"/>
  <c r="J132" i="5"/>
  <c r="S131" i="5"/>
  <c r="R131" i="5"/>
  <c r="K131" i="5"/>
  <c r="O131" i="5" s="1"/>
  <c r="J131" i="5"/>
  <c r="S130" i="5"/>
  <c r="R130" i="5"/>
  <c r="K130" i="5"/>
  <c r="O130" i="5" s="1"/>
  <c r="J130" i="5"/>
  <c r="S129" i="5"/>
  <c r="R129" i="5"/>
  <c r="O129" i="5"/>
  <c r="N129" i="5"/>
  <c r="P129" i="5" s="1"/>
  <c r="Q129" i="5" s="1"/>
  <c r="K129" i="5"/>
  <c r="J129" i="5"/>
  <c r="L129" i="5" s="1"/>
  <c r="M129" i="5" s="1"/>
  <c r="S128" i="5"/>
  <c r="R128" i="5"/>
  <c r="K128" i="5"/>
  <c r="O128" i="5" s="1"/>
  <c r="J128" i="5"/>
  <c r="K127" i="5"/>
  <c r="O127" i="5" s="1"/>
  <c r="J127" i="5"/>
  <c r="K126" i="5"/>
  <c r="O126" i="5" s="1"/>
  <c r="J126" i="5"/>
  <c r="S125" i="5"/>
  <c r="R125" i="5"/>
  <c r="K125" i="5"/>
  <c r="O125" i="5" s="1"/>
  <c r="J125" i="5"/>
  <c r="S124" i="5"/>
  <c r="R124" i="5"/>
  <c r="K124" i="5"/>
  <c r="O124" i="5" s="1"/>
  <c r="J124" i="5"/>
  <c r="S123" i="5"/>
  <c r="R123" i="5"/>
  <c r="K123" i="5"/>
  <c r="O123" i="5" s="1"/>
  <c r="J123" i="5"/>
  <c r="S122" i="5"/>
  <c r="R122" i="5"/>
  <c r="K122" i="5"/>
  <c r="O122" i="5" s="1"/>
  <c r="J122" i="5"/>
  <c r="S121" i="5"/>
  <c r="R121" i="5"/>
  <c r="K121" i="5"/>
  <c r="O121" i="5" s="1"/>
  <c r="J121" i="5"/>
  <c r="S120" i="5"/>
  <c r="R120" i="5"/>
  <c r="K120" i="5"/>
  <c r="O120" i="5" s="1"/>
  <c r="J120" i="5"/>
  <c r="S119" i="5"/>
  <c r="R119" i="5"/>
  <c r="K119" i="5"/>
  <c r="O119" i="5" s="1"/>
  <c r="J119" i="5"/>
  <c r="S118" i="5"/>
  <c r="R118" i="5"/>
  <c r="K118" i="5"/>
  <c r="O118" i="5" s="1"/>
  <c r="J118" i="5"/>
  <c r="K117" i="5"/>
  <c r="O117" i="5" s="1"/>
  <c r="J117" i="5"/>
  <c r="S116" i="5"/>
  <c r="R116" i="5"/>
  <c r="K116" i="5"/>
  <c r="O116" i="5" s="1"/>
  <c r="J116" i="5"/>
  <c r="S115" i="5"/>
  <c r="R115" i="5"/>
  <c r="K115" i="5"/>
  <c r="O115" i="5" s="1"/>
  <c r="J115" i="5"/>
  <c r="S114" i="5"/>
  <c r="R114" i="5"/>
  <c r="K114" i="5"/>
  <c r="O114" i="5" s="1"/>
  <c r="J114" i="5"/>
  <c r="S113" i="5"/>
  <c r="R113" i="5"/>
  <c r="K113" i="5"/>
  <c r="O113" i="5" s="1"/>
  <c r="J113" i="5"/>
  <c r="S112" i="5"/>
  <c r="R112" i="5"/>
  <c r="K112" i="5"/>
  <c r="O112" i="5" s="1"/>
  <c r="J112" i="5"/>
  <c r="S111" i="5"/>
  <c r="R111" i="5"/>
  <c r="K111" i="5"/>
  <c r="O111" i="5" s="1"/>
  <c r="J111" i="5"/>
  <c r="S110" i="5"/>
  <c r="R110" i="5"/>
  <c r="K110" i="5"/>
  <c r="O110" i="5" s="1"/>
  <c r="J110" i="5"/>
  <c r="S109" i="5"/>
  <c r="R109" i="5"/>
  <c r="K109" i="5"/>
  <c r="O109" i="5" s="1"/>
  <c r="J109" i="5"/>
  <c r="S108" i="5"/>
  <c r="R108" i="5"/>
  <c r="K108" i="5"/>
  <c r="O108" i="5" s="1"/>
  <c r="J108" i="5"/>
  <c r="S107" i="5"/>
  <c r="R107" i="5"/>
  <c r="K107" i="5"/>
  <c r="O107" i="5" s="1"/>
  <c r="J107" i="5"/>
  <c r="K106" i="5"/>
  <c r="O106" i="5" s="1"/>
  <c r="J106" i="5"/>
  <c r="S105" i="5"/>
  <c r="R105" i="5"/>
  <c r="K105" i="5"/>
  <c r="O105" i="5" s="1"/>
  <c r="J105" i="5"/>
  <c r="S104" i="5"/>
  <c r="R104" i="5"/>
  <c r="K104" i="5"/>
  <c r="O104" i="5" s="1"/>
  <c r="J104" i="5"/>
  <c r="S103" i="5"/>
  <c r="R103" i="5"/>
  <c r="K103" i="5"/>
  <c r="O103" i="5" s="1"/>
  <c r="J103" i="5"/>
  <c r="S102" i="5"/>
  <c r="R102" i="5"/>
  <c r="K102" i="5"/>
  <c r="O102" i="5" s="1"/>
  <c r="J102" i="5"/>
  <c r="S101" i="5"/>
  <c r="R101" i="5"/>
  <c r="K101" i="5"/>
  <c r="O101" i="5" s="1"/>
  <c r="J101" i="5"/>
  <c r="S100" i="5"/>
  <c r="R100" i="5"/>
  <c r="K100" i="5"/>
  <c r="O100" i="5" s="1"/>
  <c r="J100" i="5"/>
  <c r="S99" i="5"/>
  <c r="R99" i="5"/>
  <c r="K99" i="5"/>
  <c r="O99" i="5" s="1"/>
  <c r="J99" i="5"/>
  <c r="S98" i="5"/>
  <c r="R98" i="5"/>
  <c r="K98" i="5"/>
  <c r="O98" i="5" s="1"/>
  <c r="J98" i="5"/>
  <c r="S97" i="5"/>
  <c r="R97" i="5"/>
  <c r="K97" i="5"/>
  <c r="O97" i="5" s="1"/>
  <c r="J97" i="5"/>
  <c r="S96" i="5"/>
  <c r="R96" i="5"/>
  <c r="K96" i="5"/>
  <c r="O96" i="5" s="1"/>
  <c r="J96" i="5"/>
  <c r="S95" i="5"/>
  <c r="R95" i="5"/>
  <c r="K95" i="5"/>
  <c r="O95" i="5" s="1"/>
  <c r="J95" i="5"/>
  <c r="S94" i="5"/>
  <c r="R94" i="5"/>
  <c r="K94" i="5"/>
  <c r="O94" i="5" s="1"/>
  <c r="J94" i="5"/>
  <c r="S93" i="5"/>
  <c r="R93" i="5"/>
  <c r="K93" i="5"/>
  <c r="O93" i="5" s="1"/>
  <c r="J93" i="5"/>
  <c r="S92" i="5"/>
  <c r="R92" i="5"/>
  <c r="K92" i="5"/>
  <c r="O92" i="5" s="1"/>
  <c r="J92" i="5"/>
  <c r="S91" i="5"/>
  <c r="R91" i="5"/>
  <c r="K91" i="5"/>
  <c r="O91" i="5" s="1"/>
  <c r="J91" i="5"/>
  <c r="S90" i="5"/>
  <c r="R90" i="5"/>
  <c r="K90" i="5"/>
  <c r="O90" i="5" s="1"/>
  <c r="J90" i="5"/>
  <c r="S89" i="5"/>
  <c r="R89" i="5"/>
  <c r="K89" i="5"/>
  <c r="O89" i="5" s="1"/>
  <c r="J89" i="5"/>
  <c r="S88" i="5"/>
  <c r="R88" i="5"/>
  <c r="K88" i="5"/>
  <c r="O88" i="5" s="1"/>
  <c r="J88" i="5"/>
  <c r="S87" i="5"/>
  <c r="R87" i="5"/>
  <c r="K87" i="5"/>
  <c r="O87" i="5" s="1"/>
  <c r="J87" i="5"/>
  <c r="S86" i="5"/>
  <c r="R86" i="5"/>
  <c r="K86" i="5"/>
  <c r="O86" i="5" s="1"/>
  <c r="J86" i="5"/>
  <c r="S85" i="5"/>
  <c r="R85" i="5"/>
  <c r="K85" i="5"/>
  <c r="O85" i="5" s="1"/>
  <c r="J85" i="5"/>
  <c r="S84" i="5"/>
  <c r="R84" i="5"/>
  <c r="K84" i="5"/>
  <c r="O84" i="5" s="1"/>
  <c r="J84" i="5"/>
  <c r="S83" i="5"/>
  <c r="R83" i="5"/>
  <c r="K83" i="5"/>
  <c r="O83" i="5" s="1"/>
  <c r="J83" i="5"/>
  <c r="S82" i="5"/>
  <c r="R82" i="5"/>
  <c r="K82" i="5"/>
  <c r="O82" i="5" s="1"/>
  <c r="J82" i="5"/>
  <c r="S81" i="5"/>
  <c r="R81" i="5"/>
  <c r="K81" i="5"/>
  <c r="O81" i="5" s="1"/>
  <c r="J81" i="5"/>
  <c r="S80" i="5"/>
  <c r="R80" i="5"/>
  <c r="K80" i="5"/>
  <c r="O80" i="5" s="1"/>
  <c r="J80" i="5"/>
  <c r="S79" i="5"/>
  <c r="R79" i="5"/>
  <c r="K79" i="5"/>
  <c r="O79" i="5" s="1"/>
  <c r="J79" i="5"/>
  <c r="S78" i="5"/>
  <c r="R78" i="5"/>
  <c r="K78" i="5"/>
  <c r="O78" i="5" s="1"/>
  <c r="J78" i="5"/>
  <c r="S77" i="5"/>
  <c r="R77" i="5"/>
  <c r="K77" i="5"/>
  <c r="O77" i="5" s="1"/>
  <c r="J77" i="5"/>
  <c r="S76" i="5"/>
  <c r="R76" i="5"/>
  <c r="K76" i="5"/>
  <c r="O76" i="5" s="1"/>
  <c r="J76" i="5"/>
  <c r="S75" i="5"/>
  <c r="R75" i="5"/>
  <c r="K75" i="5"/>
  <c r="O75" i="5" s="1"/>
  <c r="J75" i="5"/>
  <c r="S74" i="5"/>
  <c r="R74" i="5"/>
  <c r="K74" i="5"/>
  <c r="O74" i="5" s="1"/>
  <c r="J74" i="5"/>
  <c r="S73" i="5"/>
  <c r="R73" i="5"/>
  <c r="K73" i="5"/>
  <c r="O73" i="5" s="1"/>
  <c r="J73" i="5"/>
  <c r="S72" i="5"/>
  <c r="R72" i="5"/>
  <c r="K72" i="5"/>
  <c r="O72" i="5" s="1"/>
  <c r="J72" i="5"/>
  <c r="S71" i="5"/>
  <c r="R71" i="5"/>
  <c r="K71" i="5"/>
  <c r="O71" i="5" s="1"/>
  <c r="J71" i="5"/>
  <c r="S70" i="5"/>
  <c r="R70" i="5"/>
  <c r="K70" i="5"/>
  <c r="O70" i="5" s="1"/>
  <c r="J70" i="5"/>
  <c r="S69" i="5"/>
  <c r="R69" i="5"/>
  <c r="K69" i="5"/>
  <c r="O69" i="5" s="1"/>
  <c r="J69" i="5"/>
  <c r="S68" i="5"/>
  <c r="R68" i="5"/>
  <c r="K68" i="5"/>
  <c r="O68" i="5" s="1"/>
  <c r="J68" i="5"/>
  <c r="S67" i="5"/>
  <c r="R67" i="5"/>
  <c r="K67" i="5"/>
  <c r="O67" i="5" s="1"/>
  <c r="J67" i="5"/>
  <c r="S66" i="5"/>
  <c r="R66" i="5"/>
  <c r="K66" i="5"/>
  <c r="O66" i="5" s="1"/>
  <c r="J66" i="5"/>
  <c r="S65" i="5"/>
  <c r="R65" i="5"/>
  <c r="K65" i="5"/>
  <c r="O65" i="5" s="1"/>
  <c r="J65" i="5"/>
  <c r="S64" i="5"/>
  <c r="R64" i="5"/>
  <c r="K64" i="5"/>
  <c r="O64" i="5" s="1"/>
  <c r="J64" i="5"/>
  <c r="S63" i="5"/>
  <c r="R63" i="5"/>
  <c r="K63" i="5"/>
  <c r="O63" i="5" s="1"/>
  <c r="J63" i="5"/>
  <c r="S62" i="5"/>
  <c r="R62" i="5"/>
  <c r="K62" i="5"/>
  <c r="O62" i="5" s="1"/>
  <c r="J62" i="5"/>
  <c r="S61" i="5"/>
  <c r="R61" i="5"/>
  <c r="K61" i="5"/>
  <c r="O61" i="5" s="1"/>
  <c r="J61" i="5"/>
  <c r="S60" i="5"/>
  <c r="R60" i="5"/>
  <c r="K60" i="5"/>
  <c r="O60" i="5" s="1"/>
  <c r="J60" i="5"/>
  <c r="S59" i="5"/>
  <c r="R59" i="5"/>
  <c r="K59" i="5"/>
  <c r="O59" i="5" s="1"/>
  <c r="J59" i="5"/>
  <c r="S58" i="5"/>
  <c r="R58" i="5"/>
  <c r="K58" i="5"/>
  <c r="O58" i="5" s="1"/>
  <c r="J58" i="5"/>
  <c r="S57" i="5"/>
  <c r="R57" i="5"/>
  <c r="K57" i="5"/>
  <c r="O57" i="5" s="1"/>
  <c r="J57" i="5"/>
  <c r="S56" i="5"/>
  <c r="R56" i="5"/>
  <c r="K56" i="5"/>
  <c r="O56" i="5" s="1"/>
  <c r="J56" i="5"/>
  <c r="S55" i="5"/>
  <c r="R55" i="5"/>
  <c r="K55" i="5"/>
  <c r="O55" i="5" s="1"/>
  <c r="J55" i="5"/>
  <c r="K54" i="5"/>
  <c r="O54" i="5" s="1"/>
  <c r="J54" i="5"/>
  <c r="S53" i="5"/>
  <c r="R53" i="5"/>
  <c r="K53" i="5"/>
  <c r="O53" i="5" s="1"/>
  <c r="J53" i="5"/>
  <c r="K52" i="5"/>
  <c r="O52" i="5" s="1"/>
  <c r="J52" i="5"/>
  <c r="S51" i="5"/>
  <c r="R51" i="5"/>
  <c r="K51" i="5"/>
  <c r="O51" i="5" s="1"/>
  <c r="J51" i="5"/>
  <c r="S50" i="5"/>
  <c r="R50" i="5"/>
  <c r="K50" i="5"/>
  <c r="O50" i="5" s="1"/>
  <c r="J50" i="5"/>
  <c r="S49" i="5"/>
  <c r="R49" i="5"/>
  <c r="K49" i="5"/>
  <c r="O49" i="5" s="1"/>
  <c r="J49" i="5"/>
  <c r="S48" i="5"/>
  <c r="R48" i="5"/>
  <c r="K48" i="5"/>
  <c r="O48" i="5" s="1"/>
  <c r="J48" i="5"/>
  <c r="K47" i="5"/>
  <c r="O47" i="5" s="1"/>
  <c r="J47" i="5"/>
  <c r="S46" i="5"/>
  <c r="R46" i="5"/>
  <c r="K46" i="5"/>
  <c r="O46" i="5" s="1"/>
  <c r="J46" i="5"/>
  <c r="S45" i="5"/>
  <c r="R45" i="5"/>
  <c r="K45" i="5"/>
  <c r="O45" i="5" s="1"/>
  <c r="J45" i="5"/>
  <c r="S44" i="5"/>
  <c r="R44" i="5"/>
  <c r="K44" i="5"/>
  <c r="O44" i="5" s="1"/>
  <c r="J44" i="5"/>
  <c r="S43" i="5"/>
  <c r="K43" i="5"/>
  <c r="O43" i="5" s="1"/>
  <c r="J43" i="5"/>
  <c r="S42" i="5"/>
  <c r="K42" i="5"/>
  <c r="O42" i="5" s="1"/>
  <c r="J42" i="5"/>
  <c r="S41" i="5"/>
  <c r="K41" i="5"/>
  <c r="O41" i="5" s="1"/>
  <c r="J41" i="5"/>
  <c r="S40" i="5"/>
  <c r="K40" i="5"/>
  <c r="O40" i="5" s="1"/>
  <c r="J40" i="5"/>
  <c r="S39" i="5"/>
  <c r="K39" i="5"/>
  <c r="O39" i="5" s="1"/>
  <c r="J39" i="5"/>
  <c r="S38" i="5"/>
  <c r="K38" i="5"/>
  <c r="O38" i="5" s="1"/>
  <c r="J38" i="5"/>
  <c r="S37" i="5"/>
  <c r="K37" i="5"/>
  <c r="O37" i="5" s="1"/>
  <c r="J37" i="5"/>
  <c r="S36" i="5"/>
  <c r="K36" i="5"/>
  <c r="O36" i="5" s="1"/>
  <c r="J36" i="5"/>
  <c r="S35" i="5"/>
  <c r="K35" i="5"/>
  <c r="O35" i="5" s="1"/>
  <c r="J35" i="5"/>
  <c r="S34" i="5"/>
  <c r="K34" i="5"/>
  <c r="O34" i="5" s="1"/>
  <c r="J34" i="5"/>
  <c r="S33" i="5"/>
  <c r="K33" i="5"/>
  <c r="O33" i="5" s="1"/>
  <c r="J33" i="5"/>
  <c r="S32" i="5"/>
  <c r="K32" i="5"/>
  <c r="O32" i="5" s="1"/>
  <c r="J32" i="5"/>
  <c r="S31" i="5"/>
  <c r="K31" i="5"/>
  <c r="O31" i="5" s="1"/>
  <c r="J31" i="5"/>
  <c r="K30" i="5"/>
  <c r="O30" i="5" s="1"/>
  <c r="J30" i="5"/>
  <c r="S29" i="5"/>
  <c r="R29" i="5"/>
  <c r="K29" i="5"/>
  <c r="O29" i="5" s="1"/>
  <c r="J29" i="5"/>
  <c r="S28" i="5"/>
  <c r="R28" i="5"/>
  <c r="K28" i="5"/>
  <c r="O28" i="5" s="1"/>
  <c r="J28" i="5"/>
  <c r="S27" i="5"/>
  <c r="R27" i="5"/>
  <c r="K27" i="5"/>
  <c r="O27" i="5" s="1"/>
  <c r="J27" i="5"/>
  <c r="S26" i="5"/>
  <c r="K26" i="5"/>
  <c r="O26" i="5" s="1"/>
  <c r="J26" i="5"/>
  <c r="S25" i="5"/>
  <c r="K25" i="5"/>
  <c r="O25" i="5" s="1"/>
  <c r="J25" i="5"/>
  <c r="S24" i="5"/>
  <c r="K24" i="5"/>
  <c r="O24" i="5" s="1"/>
  <c r="J24" i="5"/>
  <c r="S23" i="5"/>
  <c r="K23" i="5"/>
  <c r="O23" i="5" s="1"/>
  <c r="J23" i="5"/>
  <c r="S22" i="5"/>
  <c r="K22" i="5"/>
  <c r="O22" i="5" s="1"/>
  <c r="J22" i="5"/>
  <c r="S21" i="5"/>
  <c r="K21" i="5"/>
  <c r="O21" i="5" s="1"/>
  <c r="J21" i="5"/>
  <c r="S20" i="5"/>
  <c r="K20" i="5"/>
  <c r="O20" i="5" s="1"/>
  <c r="J20" i="5"/>
  <c r="S19" i="5"/>
  <c r="K19" i="5"/>
  <c r="O19" i="5" s="1"/>
  <c r="J19" i="5"/>
  <c r="S18" i="5"/>
  <c r="K18" i="5"/>
  <c r="O18" i="5" s="1"/>
  <c r="J18" i="5"/>
  <c r="S17" i="5"/>
  <c r="K17" i="5"/>
  <c r="O17" i="5" s="1"/>
  <c r="J17" i="5"/>
  <c r="S16" i="5"/>
  <c r="K16" i="5"/>
  <c r="O16" i="5" s="1"/>
  <c r="J16" i="5"/>
  <c r="S15" i="5"/>
  <c r="K15" i="5"/>
  <c r="O15" i="5" s="1"/>
  <c r="J15" i="5"/>
  <c r="K14" i="5"/>
  <c r="O14" i="5" s="1"/>
  <c r="J14" i="5"/>
  <c r="S13" i="5"/>
  <c r="K13" i="5"/>
  <c r="O13" i="5" s="1"/>
  <c r="J13" i="5"/>
  <c r="S12" i="5"/>
  <c r="K12" i="5"/>
  <c r="O12" i="5" s="1"/>
  <c r="J12" i="5"/>
  <c r="K11" i="5"/>
  <c r="O11" i="5" s="1"/>
  <c r="J11" i="5"/>
  <c r="S10" i="5"/>
  <c r="R10" i="5"/>
  <c r="K10" i="5"/>
  <c r="O10" i="5" s="1"/>
  <c r="J10" i="5"/>
  <c r="S9" i="5"/>
  <c r="R9" i="5"/>
  <c r="L9" i="5"/>
  <c r="M9" i="5" s="1"/>
  <c r="K9" i="5"/>
  <c r="O9" i="5" s="1"/>
  <c r="J9" i="5"/>
  <c r="N9" i="5" s="1"/>
  <c r="P9" i="5" s="1"/>
  <c r="Q9" i="5" s="1"/>
  <c r="S8" i="5"/>
  <c r="R8" i="5"/>
  <c r="K8" i="5"/>
  <c r="O8" i="5" s="1"/>
  <c r="J8" i="5"/>
  <c r="S7" i="5"/>
  <c r="R7" i="5"/>
  <c r="K7" i="5"/>
  <c r="O7" i="5" s="1"/>
  <c r="J7" i="5"/>
  <c r="S6" i="5"/>
  <c r="R6" i="5"/>
  <c r="K6" i="5"/>
  <c r="O6" i="5" s="1"/>
  <c r="J6" i="5"/>
  <c r="S5" i="5"/>
  <c r="R5" i="5"/>
  <c r="K5" i="5"/>
  <c r="O5" i="5" s="1"/>
  <c r="J5" i="5"/>
  <c r="S4" i="5"/>
  <c r="R4" i="5"/>
  <c r="K4" i="5"/>
  <c r="O4" i="5" s="1"/>
  <c r="J4" i="5"/>
  <c r="S3" i="5"/>
  <c r="R3" i="5"/>
  <c r="K3" i="5"/>
  <c r="O3" i="5" s="1"/>
  <c r="J3" i="5"/>
  <c r="W2" i="5"/>
  <c r="S2" i="5"/>
  <c r="R2" i="5"/>
  <c r="K2" i="5"/>
  <c r="O2" i="5" s="1"/>
  <c r="J2" i="5"/>
  <c r="H7" i="4"/>
  <c r="F7" i="4"/>
  <c r="B7" i="4"/>
  <c r="D7" i="3"/>
  <c r="C7" i="3"/>
  <c r="B7" i="3"/>
  <c r="D6" i="3"/>
  <c r="D10" i="3" s="1"/>
  <c r="C6" i="3"/>
  <c r="C10" i="3" s="1"/>
  <c r="B6" i="3"/>
  <c r="B10" i="3" s="1"/>
  <c r="D5" i="3"/>
  <c r="C5" i="3"/>
  <c r="B5" i="3"/>
  <c r="B24" i="2"/>
  <c r="D15" i="2"/>
  <c r="D16" i="2" s="1"/>
  <c r="D32" i="3" s="1"/>
  <c r="C15" i="2"/>
  <c r="C16" i="2" s="1"/>
  <c r="C32" i="3" s="1"/>
  <c r="B15" i="2"/>
  <c r="B16" i="2" s="1"/>
  <c r="B32" i="3" s="1"/>
  <c r="D10" i="2"/>
  <c r="D4" i="3" s="1"/>
  <c r="C10" i="2"/>
  <c r="C4" i="3" s="1"/>
  <c r="B10" i="2"/>
  <c r="B4" i="3" s="1"/>
  <c r="N217" i="5" l="1"/>
  <c r="P217" i="5" s="1"/>
  <c r="Q217" i="5" s="1"/>
  <c r="L217" i="5"/>
  <c r="M217" i="5" s="1"/>
  <c r="N216" i="5"/>
  <c r="P216" i="5" s="1"/>
  <c r="Q216" i="5" s="1"/>
  <c r="L216" i="5"/>
  <c r="M216" i="5" s="1"/>
  <c r="N215" i="5"/>
  <c r="P215" i="5" s="1"/>
  <c r="Q215" i="5" s="1"/>
  <c r="L215" i="5"/>
  <c r="M215" i="5" s="1"/>
  <c r="N214" i="5"/>
  <c r="P214" i="5" s="1"/>
  <c r="Q214" i="5" s="1"/>
  <c r="L214" i="5"/>
  <c r="M214" i="5" s="1"/>
  <c r="N213" i="5"/>
  <c r="P213" i="5" s="1"/>
  <c r="Q213" i="5" s="1"/>
  <c r="L213" i="5"/>
  <c r="M213" i="5" s="1"/>
  <c r="N212" i="5"/>
  <c r="P212" i="5" s="1"/>
  <c r="Q212" i="5" s="1"/>
  <c r="L212" i="5"/>
  <c r="M212" i="5" s="1"/>
  <c r="N211" i="5"/>
  <c r="P211" i="5" s="1"/>
  <c r="Q211" i="5" s="1"/>
  <c r="L211" i="5"/>
  <c r="M211" i="5" s="1"/>
  <c r="N210" i="5"/>
  <c r="P210" i="5" s="1"/>
  <c r="Q210" i="5" s="1"/>
  <c r="L210" i="5"/>
  <c r="M210" i="5" s="1"/>
  <c r="N209" i="5"/>
  <c r="P209" i="5" s="1"/>
  <c r="Q209" i="5" s="1"/>
  <c r="L209" i="5"/>
  <c r="M209" i="5" s="1"/>
  <c r="N208" i="5"/>
  <c r="P208" i="5" s="1"/>
  <c r="Q208" i="5" s="1"/>
  <c r="L208" i="5"/>
  <c r="M208" i="5" s="1"/>
  <c r="N207" i="5"/>
  <c r="P207" i="5" s="1"/>
  <c r="Q207" i="5" s="1"/>
  <c r="L207" i="5"/>
  <c r="M207" i="5" s="1"/>
  <c r="N206" i="5"/>
  <c r="P206" i="5" s="1"/>
  <c r="Q206" i="5" s="1"/>
  <c r="L206" i="5"/>
  <c r="M206" i="5" s="1"/>
  <c r="N205" i="5"/>
  <c r="P205" i="5" s="1"/>
  <c r="Q205" i="5" s="1"/>
  <c r="L205" i="5"/>
  <c r="M205" i="5" s="1"/>
  <c r="N204" i="5"/>
  <c r="P204" i="5" s="1"/>
  <c r="Q204" i="5" s="1"/>
  <c r="L204" i="5"/>
  <c r="M204" i="5" s="1"/>
  <c r="N203" i="5"/>
  <c r="P203" i="5" s="1"/>
  <c r="Q203" i="5" s="1"/>
  <c r="L203" i="5"/>
  <c r="M203" i="5" s="1"/>
  <c r="N202" i="5"/>
  <c r="P202" i="5" s="1"/>
  <c r="Q202" i="5" s="1"/>
  <c r="L202" i="5"/>
  <c r="M202" i="5" s="1"/>
  <c r="N201" i="5"/>
  <c r="P201" i="5" s="1"/>
  <c r="Q201" i="5" s="1"/>
  <c r="L201" i="5"/>
  <c r="M201" i="5" s="1"/>
  <c r="N200" i="5"/>
  <c r="P200" i="5" s="1"/>
  <c r="Q200" i="5" s="1"/>
  <c r="L200" i="5"/>
  <c r="M200" i="5" s="1"/>
  <c r="N199" i="5"/>
  <c r="P199" i="5" s="1"/>
  <c r="Q199" i="5" s="1"/>
  <c r="L199" i="5"/>
  <c r="M199" i="5" s="1"/>
  <c r="N198" i="5"/>
  <c r="P198" i="5" s="1"/>
  <c r="Q198" i="5" s="1"/>
  <c r="L198" i="5"/>
  <c r="M198" i="5" s="1"/>
  <c r="N197" i="5"/>
  <c r="P197" i="5" s="1"/>
  <c r="Q197" i="5" s="1"/>
  <c r="L197" i="5"/>
  <c r="M197" i="5" s="1"/>
  <c r="L195" i="5"/>
  <c r="M195" i="5" s="1"/>
  <c r="N195" i="5"/>
  <c r="P195" i="5" s="1"/>
  <c r="Q195" i="5" s="1"/>
  <c r="N194" i="5"/>
  <c r="P194" i="5" s="1"/>
  <c r="Q194" i="5" s="1"/>
  <c r="L194" i="5"/>
  <c r="M194" i="5" s="1"/>
  <c r="L193" i="5"/>
  <c r="M193" i="5" s="1"/>
  <c r="N193" i="5"/>
  <c r="P193" i="5" s="1"/>
  <c r="Q193" i="5" s="1"/>
  <c r="L192" i="5"/>
  <c r="M192" i="5" s="1"/>
  <c r="N192" i="5"/>
  <c r="P192" i="5" s="1"/>
  <c r="Q192" i="5" s="1"/>
  <c r="L191" i="5"/>
  <c r="M191" i="5" s="1"/>
  <c r="N191" i="5"/>
  <c r="P191" i="5" s="1"/>
  <c r="Q191" i="5" s="1"/>
  <c r="L190" i="5"/>
  <c r="M190" i="5" s="1"/>
  <c r="N190" i="5"/>
  <c r="P190" i="5" s="1"/>
  <c r="Q190" i="5" s="1"/>
  <c r="N189" i="5"/>
  <c r="P189" i="5" s="1"/>
  <c r="Q189" i="5" s="1"/>
  <c r="L189" i="5"/>
  <c r="M189" i="5" s="1"/>
  <c r="N188" i="5"/>
  <c r="P188" i="5" s="1"/>
  <c r="Q188" i="5" s="1"/>
  <c r="L188" i="5"/>
  <c r="M188" i="5" s="1"/>
  <c r="N187" i="5"/>
  <c r="P187" i="5" s="1"/>
  <c r="Q187" i="5" s="1"/>
  <c r="L187" i="5"/>
  <c r="M187" i="5" s="1"/>
  <c r="L186" i="5"/>
  <c r="M186" i="5" s="1"/>
  <c r="N186" i="5"/>
  <c r="P186" i="5" s="1"/>
  <c r="Q186" i="5" s="1"/>
  <c r="N185" i="5"/>
  <c r="P185" i="5" s="1"/>
  <c r="Q185" i="5" s="1"/>
  <c r="L185" i="5"/>
  <c r="M185" i="5" s="1"/>
  <c r="N184" i="5"/>
  <c r="P184" i="5" s="1"/>
  <c r="Q184" i="5" s="1"/>
  <c r="L184" i="5"/>
  <c r="M184" i="5" s="1"/>
  <c r="N183" i="5"/>
  <c r="P183" i="5" s="1"/>
  <c r="Q183" i="5" s="1"/>
  <c r="L183" i="5"/>
  <c r="M183" i="5" s="1"/>
  <c r="N182" i="5"/>
  <c r="P182" i="5" s="1"/>
  <c r="Q182" i="5" s="1"/>
  <c r="L182" i="5"/>
  <c r="M182" i="5" s="1"/>
  <c r="L181" i="5"/>
  <c r="M181" i="5" s="1"/>
  <c r="N181" i="5"/>
  <c r="P181" i="5" s="1"/>
  <c r="Q181" i="5" s="1"/>
  <c r="N180" i="5"/>
  <c r="P180" i="5" s="1"/>
  <c r="Q180" i="5" s="1"/>
  <c r="L180" i="5"/>
  <c r="M180" i="5" s="1"/>
  <c r="N179" i="5"/>
  <c r="P179" i="5" s="1"/>
  <c r="Q179" i="5" s="1"/>
  <c r="L179" i="5"/>
  <c r="M179" i="5" s="1"/>
  <c r="N178" i="5"/>
  <c r="P178" i="5" s="1"/>
  <c r="Q178" i="5" s="1"/>
  <c r="L178" i="5"/>
  <c r="M178" i="5" s="1"/>
  <c r="L177" i="5"/>
  <c r="M177" i="5" s="1"/>
  <c r="N177" i="5"/>
  <c r="P177" i="5" s="1"/>
  <c r="Q177" i="5" s="1"/>
  <c r="N176" i="5"/>
  <c r="P176" i="5" s="1"/>
  <c r="Q176" i="5" s="1"/>
  <c r="L176" i="5"/>
  <c r="M176" i="5" s="1"/>
  <c r="N175" i="5"/>
  <c r="P175" i="5" s="1"/>
  <c r="Q175" i="5" s="1"/>
  <c r="L175" i="5"/>
  <c r="M175" i="5" s="1"/>
  <c r="N173" i="5"/>
  <c r="P173" i="5" s="1"/>
  <c r="Q173" i="5" s="1"/>
  <c r="L173" i="5"/>
  <c r="M173" i="5" s="1"/>
  <c r="N172" i="5"/>
  <c r="P172" i="5" s="1"/>
  <c r="Q172" i="5" s="1"/>
  <c r="L172" i="5"/>
  <c r="M172" i="5" s="1"/>
  <c r="L171" i="5"/>
  <c r="M171" i="5" s="1"/>
  <c r="N171" i="5"/>
  <c r="P171" i="5" s="1"/>
  <c r="Q171" i="5" s="1"/>
  <c r="L170" i="5"/>
  <c r="M170" i="5" s="1"/>
  <c r="N170" i="5"/>
  <c r="P170" i="5" s="1"/>
  <c r="Q170" i="5" s="1"/>
  <c r="L169" i="5"/>
  <c r="M169" i="5" s="1"/>
  <c r="N169" i="5"/>
  <c r="P169" i="5" s="1"/>
  <c r="Q169" i="5" s="1"/>
  <c r="L168" i="5"/>
  <c r="M168" i="5" s="1"/>
  <c r="N168" i="5"/>
  <c r="P168" i="5" s="1"/>
  <c r="Q168" i="5" s="1"/>
  <c r="N167" i="5"/>
  <c r="P167" i="5" s="1"/>
  <c r="Q167" i="5" s="1"/>
  <c r="L167" i="5"/>
  <c r="M167" i="5" s="1"/>
  <c r="N166" i="5"/>
  <c r="P166" i="5" s="1"/>
  <c r="Q166" i="5" s="1"/>
  <c r="L166" i="5"/>
  <c r="M166" i="5" s="1"/>
  <c r="L165" i="5"/>
  <c r="M165" i="5" s="1"/>
  <c r="N165" i="5"/>
  <c r="P165" i="5" s="1"/>
  <c r="Q165" i="5" s="1"/>
  <c r="L164" i="5"/>
  <c r="M164" i="5" s="1"/>
  <c r="N164" i="5"/>
  <c r="P164" i="5" s="1"/>
  <c r="Q164" i="5" s="1"/>
  <c r="L163" i="5"/>
  <c r="M163" i="5" s="1"/>
  <c r="N163" i="5"/>
  <c r="P163" i="5" s="1"/>
  <c r="Q163" i="5" s="1"/>
  <c r="L162" i="5"/>
  <c r="M162" i="5" s="1"/>
  <c r="N162" i="5"/>
  <c r="P162" i="5" s="1"/>
  <c r="Q162" i="5" s="1"/>
  <c r="L161" i="5"/>
  <c r="M161" i="5" s="1"/>
  <c r="N161" i="5"/>
  <c r="P161" i="5" s="1"/>
  <c r="Q161" i="5" s="1"/>
  <c r="L160" i="5"/>
  <c r="M160" i="5" s="1"/>
  <c r="N160" i="5"/>
  <c r="P160" i="5" s="1"/>
  <c r="Q160" i="5" s="1"/>
  <c r="N159" i="5"/>
  <c r="P159" i="5" s="1"/>
  <c r="Q159" i="5" s="1"/>
  <c r="L159" i="5"/>
  <c r="M159" i="5" s="1"/>
  <c r="L158" i="5"/>
  <c r="M158" i="5" s="1"/>
  <c r="N158" i="5"/>
  <c r="P158" i="5" s="1"/>
  <c r="Q158" i="5" s="1"/>
  <c r="L157" i="5"/>
  <c r="M157" i="5" s="1"/>
  <c r="N157" i="5"/>
  <c r="P157" i="5" s="1"/>
  <c r="Q157" i="5" s="1"/>
  <c r="N156" i="5"/>
  <c r="P156" i="5" s="1"/>
  <c r="Q156" i="5" s="1"/>
  <c r="L156" i="5"/>
  <c r="M156" i="5" s="1"/>
  <c r="N155" i="5"/>
  <c r="P155" i="5" s="1"/>
  <c r="Q155" i="5" s="1"/>
  <c r="L155" i="5"/>
  <c r="M155" i="5" s="1"/>
  <c r="N154" i="5"/>
  <c r="P154" i="5" s="1"/>
  <c r="Q154" i="5" s="1"/>
  <c r="L154" i="5"/>
  <c r="M154" i="5" s="1"/>
  <c r="N153" i="5"/>
  <c r="P153" i="5" s="1"/>
  <c r="Q153" i="5" s="1"/>
  <c r="L153" i="5"/>
  <c r="M153" i="5" s="1"/>
  <c r="N152" i="5"/>
  <c r="P152" i="5" s="1"/>
  <c r="Q152" i="5" s="1"/>
  <c r="L152" i="5"/>
  <c r="M152" i="5" s="1"/>
  <c r="N151" i="5"/>
  <c r="P151" i="5" s="1"/>
  <c r="Q151" i="5" s="1"/>
  <c r="L151" i="5"/>
  <c r="M151" i="5" s="1"/>
  <c r="L150" i="5"/>
  <c r="M150" i="5" s="1"/>
  <c r="N150" i="5"/>
  <c r="P150" i="5" s="1"/>
  <c r="Q150" i="5" s="1"/>
  <c r="L149" i="5"/>
  <c r="M149" i="5" s="1"/>
  <c r="N149" i="5"/>
  <c r="P149" i="5" s="1"/>
  <c r="Q149" i="5" s="1"/>
  <c r="L148" i="5"/>
  <c r="M148" i="5" s="1"/>
  <c r="N148" i="5"/>
  <c r="P148" i="5" s="1"/>
  <c r="Q148" i="5" s="1"/>
  <c r="L147" i="5"/>
  <c r="M147" i="5" s="1"/>
  <c r="N147" i="5"/>
  <c r="P147" i="5" s="1"/>
  <c r="Q147" i="5" s="1"/>
  <c r="L146" i="5"/>
  <c r="M146" i="5" s="1"/>
  <c r="N146" i="5"/>
  <c r="P146" i="5" s="1"/>
  <c r="Q146" i="5" s="1"/>
  <c r="L145" i="5"/>
  <c r="M145" i="5" s="1"/>
  <c r="N145" i="5"/>
  <c r="P145" i="5" s="1"/>
  <c r="Q145" i="5" s="1"/>
  <c r="L144" i="5"/>
  <c r="M144" i="5" s="1"/>
  <c r="N144" i="5"/>
  <c r="P144" i="5" s="1"/>
  <c r="Q144" i="5" s="1"/>
  <c r="L143" i="5"/>
  <c r="M143" i="5" s="1"/>
  <c r="N143" i="5"/>
  <c r="P143" i="5" s="1"/>
  <c r="Q143" i="5" s="1"/>
  <c r="L142" i="5"/>
  <c r="M142" i="5" s="1"/>
  <c r="N142" i="5"/>
  <c r="P142" i="5" s="1"/>
  <c r="Q142" i="5" s="1"/>
  <c r="L141" i="5"/>
  <c r="M141" i="5" s="1"/>
  <c r="N141" i="5"/>
  <c r="P141" i="5" s="1"/>
  <c r="Q141" i="5" s="1"/>
  <c r="L140" i="5"/>
  <c r="M140" i="5" s="1"/>
  <c r="N140" i="5"/>
  <c r="P140" i="5" s="1"/>
  <c r="Q140" i="5" s="1"/>
  <c r="N139" i="5"/>
  <c r="P139" i="5" s="1"/>
  <c r="Q139" i="5" s="1"/>
  <c r="L139" i="5"/>
  <c r="M139" i="5" s="1"/>
  <c r="N138" i="5"/>
  <c r="P138" i="5" s="1"/>
  <c r="Q138" i="5" s="1"/>
  <c r="L138" i="5"/>
  <c r="M138" i="5" s="1"/>
  <c r="N137" i="5"/>
  <c r="P137" i="5" s="1"/>
  <c r="Q137" i="5" s="1"/>
  <c r="L137" i="5"/>
  <c r="M137" i="5" s="1"/>
  <c r="N136" i="5"/>
  <c r="P136" i="5" s="1"/>
  <c r="Q136" i="5" s="1"/>
  <c r="L136" i="5"/>
  <c r="M136" i="5" s="1"/>
  <c r="N135" i="5"/>
  <c r="P135" i="5" s="1"/>
  <c r="Q135" i="5" s="1"/>
  <c r="L135" i="5"/>
  <c r="M135" i="5" s="1"/>
  <c r="L134" i="5"/>
  <c r="M134" i="5" s="1"/>
  <c r="N134" i="5"/>
  <c r="P134" i="5" s="1"/>
  <c r="Q134" i="5" s="1"/>
  <c r="L133" i="5"/>
  <c r="M133" i="5" s="1"/>
  <c r="N133" i="5"/>
  <c r="P133" i="5" s="1"/>
  <c r="Q133" i="5" s="1"/>
  <c r="N132" i="5"/>
  <c r="P132" i="5" s="1"/>
  <c r="Q132" i="5" s="1"/>
  <c r="L132" i="5"/>
  <c r="M132" i="5" s="1"/>
  <c r="L131" i="5"/>
  <c r="M131" i="5" s="1"/>
  <c r="N131" i="5"/>
  <c r="P131" i="5" s="1"/>
  <c r="Q131" i="5" s="1"/>
  <c r="L130" i="5"/>
  <c r="M130" i="5" s="1"/>
  <c r="N130" i="5"/>
  <c r="P130" i="5" s="1"/>
  <c r="Q130" i="5" s="1"/>
  <c r="N128" i="5"/>
  <c r="P128" i="5" s="1"/>
  <c r="Q128" i="5" s="1"/>
  <c r="L128" i="5"/>
  <c r="M128" i="5" s="1"/>
  <c r="N127" i="5"/>
  <c r="P127" i="5" s="1"/>
  <c r="Q127" i="5" s="1"/>
  <c r="L127" i="5"/>
  <c r="M127" i="5" s="1"/>
  <c r="L126" i="5"/>
  <c r="M126" i="5" s="1"/>
  <c r="N126" i="5"/>
  <c r="P126" i="5" s="1"/>
  <c r="Q126" i="5" s="1"/>
  <c r="L125" i="5"/>
  <c r="M125" i="5" s="1"/>
  <c r="N125" i="5"/>
  <c r="P125" i="5" s="1"/>
  <c r="Q125" i="5" s="1"/>
  <c r="N124" i="5"/>
  <c r="P124" i="5" s="1"/>
  <c r="Q124" i="5" s="1"/>
  <c r="L124" i="5"/>
  <c r="M124" i="5" s="1"/>
  <c r="N123" i="5"/>
  <c r="P123" i="5" s="1"/>
  <c r="Q123" i="5" s="1"/>
  <c r="L123" i="5"/>
  <c r="M123" i="5" s="1"/>
  <c r="N122" i="5"/>
  <c r="P122" i="5" s="1"/>
  <c r="Q122" i="5" s="1"/>
  <c r="L122" i="5"/>
  <c r="M122" i="5" s="1"/>
  <c r="N121" i="5"/>
  <c r="P121" i="5" s="1"/>
  <c r="Q121" i="5" s="1"/>
  <c r="L121" i="5"/>
  <c r="M121" i="5" s="1"/>
  <c r="L120" i="5"/>
  <c r="M120" i="5" s="1"/>
  <c r="N120" i="5"/>
  <c r="P120" i="5" s="1"/>
  <c r="Q120" i="5" s="1"/>
  <c r="N119" i="5"/>
  <c r="P119" i="5" s="1"/>
  <c r="Q119" i="5" s="1"/>
  <c r="L119" i="5"/>
  <c r="M119" i="5" s="1"/>
  <c r="N118" i="5"/>
  <c r="P118" i="5" s="1"/>
  <c r="Q118" i="5" s="1"/>
  <c r="L118" i="5"/>
  <c r="M118" i="5" s="1"/>
  <c r="L117" i="5"/>
  <c r="M117" i="5" s="1"/>
  <c r="N117" i="5"/>
  <c r="P117" i="5" s="1"/>
  <c r="Q117" i="5" s="1"/>
  <c r="L116" i="5"/>
  <c r="M116" i="5" s="1"/>
  <c r="N116" i="5"/>
  <c r="P116" i="5" s="1"/>
  <c r="Q116" i="5" s="1"/>
  <c r="N115" i="5"/>
  <c r="P115" i="5" s="1"/>
  <c r="Q115" i="5" s="1"/>
  <c r="L115" i="5"/>
  <c r="M115" i="5" s="1"/>
  <c r="N114" i="5"/>
  <c r="P114" i="5" s="1"/>
  <c r="Q114" i="5" s="1"/>
  <c r="L114" i="5"/>
  <c r="M114" i="5" s="1"/>
  <c r="N113" i="5"/>
  <c r="P113" i="5" s="1"/>
  <c r="Q113" i="5" s="1"/>
  <c r="L113" i="5"/>
  <c r="M113" i="5" s="1"/>
  <c r="N112" i="5"/>
  <c r="P112" i="5" s="1"/>
  <c r="Q112" i="5" s="1"/>
  <c r="L112" i="5"/>
  <c r="M112" i="5" s="1"/>
  <c r="N111" i="5"/>
  <c r="P111" i="5" s="1"/>
  <c r="Q111" i="5" s="1"/>
  <c r="L111" i="5"/>
  <c r="M111" i="5" s="1"/>
  <c r="N110" i="5"/>
  <c r="P110" i="5" s="1"/>
  <c r="Q110" i="5" s="1"/>
  <c r="L110" i="5"/>
  <c r="M110" i="5" s="1"/>
  <c r="N109" i="5"/>
  <c r="P109" i="5" s="1"/>
  <c r="Q109" i="5" s="1"/>
  <c r="L109" i="5"/>
  <c r="M109" i="5" s="1"/>
  <c r="N108" i="5"/>
  <c r="P108" i="5" s="1"/>
  <c r="Q108" i="5" s="1"/>
  <c r="L108" i="5"/>
  <c r="M108" i="5" s="1"/>
  <c r="L107" i="5"/>
  <c r="M107" i="5" s="1"/>
  <c r="N107" i="5"/>
  <c r="P107" i="5" s="1"/>
  <c r="Q107" i="5" s="1"/>
  <c r="N106" i="5"/>
  <c r="P106" i="5" s="1"/>
  <c r="Q106" i="5" s="1"/>
  <c r="L106" i="5"/>
  <c r="M106" i="5" s="1"/>
  <c r="N105" i="5"/>
  <c r="P105" i="5" s="1"/>
  <c r="Q105" i="5" s="1"/>
  <c r="L105" i="5"/>
  <c r="M105" i="5" s="1"/>
  <c r="N104" i="5"/>
  <c r="P104" i="5" s="1"/>
  <c r="Q104" i="5" s="1"/>
  <c r="L104" i="5"/>
  <c r="M104" i="5" s="1"/>
  <c r="L103" i="5"/>
  <c r="M103" i="5" s="1"/>
  <c r="N103" i="5"/>
  <c r="P103" i="5" s="1"/>
  <c r="Q103" i="5" s="1"/>
  <c r="L102" i="5"/>
  <c r="M102" i="5" s="1"/>
  <c r="N102" i="5"/>
  <c r="P102" i="5" s="1"/>
  <c r="Q102" i="5" s="1"/>
  <c r="L101" i="5"/>
  <c r="M101" i="5" s="1"/>
  <c r="N101" i="5"/>
  <c r="P101" i="5" s="1"/>
  <c r="Q101" i="5" s="1"/>
  <c r="L100" i="5"/>
  <c r="M100" i="5" s="1"/>
  <c r="N100" i="5"/>
  <c r="P100" i="5" s="1"/>
  <c r="Q100" i="5" s="1"/>
  <c r="L99" i="5"/>
  <c r="M99" i="5" s="1"/>
  <c r="N99" i="5"/>
  <c r="P99" i="5" s="1"/>
  <c r="Q99" i="5" s="1"/>
  <c r="L98" i="5"/>
  <c r="M98" i="5" s="1"/>
  <c r="N98" i="5"/>
  <c r="P98" i="5" s="1"/>
  <c r="Q98" i="5" s="1"/>
  <c r="L97" i="5"/>
  <c r="M97" i="5" s="1"/>
  <c r="N97" i="5"/>
  <c r="P97" i="5" s="1"/>
  <c r="Q97" i="5" s="1"/>
  <c r="L96" i="5"/>
  <c r="M96" i="5" s="1"/>
  <c r="N96" i="5"/>
  <c r="P96" i="5" s="1"/>
  <c r="Q96" i="5" s="1"/>
  <c r="L95" i="5"/>
  <c r="M95" i="5" s="1"/>
  <c r="N95" i="5"/>
  <c r="P95" i="5" s="1"/>
  <c r="Q95" i="5" s="1"/>
  <c r="N94" i="5"/>
  <c r="P94" i="5" s="1"/>
  <c r="Q94" i="5" s="1"/>
  <c r="L94" i="5"/>
  <c r="M94" i="5" s="1"/>
  <c r="N93" i="5"/>
  <c r="P93" i="5" s="1"/>
  <c r="Q93" i="5" s="1"/>
  <c r="L93" i="5"/>
  <c r="M93" i="5" s="1"/>
  <c r="L92" i="5"/>
  <c r="M92" i="5" s="1"/>
  <c r="N92" i="5"/>
  <c r="P92" i="5" s="1"/>
  <c r="Q92" i="5" s="1"/>
  <c r="L91" i="5"/>
  <c r="M91" i="5" s="1"/>
  <c r="N91" i="5"/>
  <c r="P91" i="5" s="1"/>
  <c r="Q91" i="5" s="1"/>
  <c r="L90" i="5"/>
  <c r="M90" i="5" s="1"/>
  <c r="N90" i="5"/>
  <c r="P90" i="5" s="1"/>
  <c r="Q90" i="5" s="1"/>
  <c r="L89" i="5"/>
  <c r="M89" i="5" s="1"/>
  <c r="N89" i="5"/>
  <c r="P89" i="5" s="1"/>
  <c r="Q89" i="5" s="1"/>
  <c r="N88" i="5"/>
  <c r="P88" i="5" s="1"/>
  <c r="Q88" i="5" s="1"/>
  <c r="L88" i="5"/>
  <c r="M88" i="5" s="1"/>
  <c r="L87" i="5"/>
  <c r="M87" i="5" s="1"/>
  <c r="N87" i="5"/>
  <c r="P87" i="5" s="1"/>
  <c r="Q87" i="5" s="1"/>
  <c r="L86" i="5"/>
  <c r="M86" i="5" s="1"/>
  <c r="N86" i="5"/>
  <c r="P86" i="5" s="1"/>
  <c r="Q86" i="5" s="1"/>
  <c r="L85" i="5"/>
  <c r="M85" i="5" s="1"/>
  <c r="N85" i="5"/>
  <c r="P85" i="5" s="1"/>
  <c r="Q85" i="5" s="1"/>
  <c r="N84" i="5"/>
  <c r="P84" i="5" s="1"/>
  <c r="Q84" i="5" s="1"/>
  <c r="L84" i="5"/>
  <c r="M84" i="5" s="1"/>
  <c r="L83" i="5"/>
  <c r="M83" i="5" s="1"/>
  <c r="N83" i="5"/>
  <c r="P83" i="5" s="1"/>
  <c r="Q83" i="5" s="1"/>
  <c r="L82" i="5"/>
  <c r="M82" i="5" s="1"/>
  <c r="N82" i="5"/>
  <c r="P82" i="5" s="1"/>
  <c r="Q82" i="5" s="1"/>
  <c r="L81" i="5"/>
  <c r="M81" i="5" s="1"/>
  <c r="N81" i="5"/>
  <c r="P81" i="5" s="1"/>
  <c r="Q81" i="5" s="1"/>
  <c r="L80" i="5"/>
  <c r="M80" i="5" s="1"/>
  <c r="N80" i="5"/>
  <c r="P80" i="5" s="1"/>
  <c r="Q80" i="5" s="1"/>
  <c r="N79" i="5"/>
  <c r="P79" i="5" s="1"/>
  <c r="Q79" i="5" s="1"/>
  <c r="L79" i="5"/>
  <c r="M79" i="5" s="1"/>
  <c r="N78" i="5"/>
  <c r="P78" i="5" s="1"/>
  <c r="Q78" i="5" s="1"/>
  <c r="L78" i="5"/>
  <c r="M78" i="5" s="1"/>
  <c r="N77" i="5"/>
  <c r="P77" i="5" s="1"/>
  <c r="Q77" i="5" s="1"/>
  <c r="L77" i="5"/>
  <c r="M77" i="5" s="1"/>
  <c r="N76" i="5"/>
  <c r="P76" i="5" s="1"/>
  <c r="Q76" i="5" s="1"/>
  <c r="L76" i="5"/>
  <c r="M76" i="5" s="1"/>
  <c r="L75" i="5"/>
  <c r="M75" i="5" s="1"/>
  <c r="N75" i="5"/>
  <c r="P75" i="5" s="1"/>
  <c r="Q75" i="5" s="1"/>
  <c r="N74" i="5"/>
  <c r="P74" i="5" s="1"/>
  <c r="Q74" i="5" s="1"/>
  <c r="L74" i="5"/>
  <c r="M74" i="5" s="1"/>
  <c r="L73" i="5"/>
  <c r="M73" i="5" s="1"/>
  <c r="N73" i="5"/>
  <c r="P73" i="5" s="1"/>
  <c r="Q73" i="5" s="1"/>
  <c r="L72" i="5"/>
  <c r="M72" i="5" s="1"/>
  <c r="N72" i="5"/>
  <c r="P72" i="5" s="1"/>
  <c r="Q72" i="5" s="1"/>
  <c r="L71" i="5"/>
  <c r="M71" i="5" s="1"/>
  <c r="N71" i="5"/>
  <c r="P71" i="5" s="1"/>
  <c r="Q71" i="5" s="1"/>
  <c r="N70" i="5"/>
  <c r="P70" i="5" s="1"/>
  <c r="Q70" i="5" s="1"/>
  <c r="L70" i="5"/>
  <c r="M70" i="5" s="1"/>
  <c r="L69" i="5"/>
  <c r="M69" i="5" s="1"/>
  <c r="N69" i="5"/>
  <c r="P69" i="5" s="1"/>
  <c r="Q69" i="5" s="1"/>
  <c r="L68" i="5"/>
  <c r="M68" i="5" s="1"/>
  <c r="N68" i="5"/>
  <c r="P68" i="5" s="1"/>
  <c r="Q68" i="5" s="1"/>
  <c r="N67" i="5"/>
  <c r="P67" i="5" s="1"/>
  <c r="Q67" i="5" s="1"/>
  <c r="L67" i="5"/>
  <c r="M67" i="5" s="1"/>
  <c r="L66" i="5"/>
  <c r="M66" i="5" s="1"/>
  <c r="N66" i="5"/>
  <c r="P66" i="5" s="1"/>
  <c r="Q66" i="5" s="1"/>
  <c r="N65" i="5"/>
  <c r="P65" i="5" s="1"/>
  <c r="Q65" i="5" s="1"/>
  <c r="L65" i="5"/>
  <c r="M65" i="5" s="1"/>
  <c r="N64" i="5"/>
  <c r="P64" i="5" s="1"/>
  <c r="Q64" i="5" s="1"/>
  <c r="L64" i="5"/>
  <c r="M64" i="5" s="1"/>
  <c r="N63" i="5"/>
  <c r="P63" i="5" s="1"/>
  <c r="Q63" i="5" s="1"/>
  <c r="L63" i="5"/>
  <c r="M63" i="5" s="1"/>
  <c r="N62" i="5"/>
  <c r="P62" i="5" s="1"/>
  <c r="Q62" i="5" s="1"/>
  <c r="L62" i="5"/>
  <c r="M62" i="5" s="1"/>
  <c r="N61" i="5"/>
  <c r="P61" i="5" s="1"/>
  <c r="Q61" i="5" s="1"/>
  <c r="L61" i="5"/>
  <c r="M61" i="5" s="1"/>
  <c r="N60" i="5"/>
  <c r="P60" i="5" s="1"/>
  <c r="Q60" i="5" s="1"/>
  <c r="L60" i="5"/>
  <c r="M60" i="5" s="1"/>
  <c r="N59" i="5"/>
  <c r="P59" i="5" s="1"/>
  <c r="Q59" i="5" s="1"/>
  <c r="L59" i="5"/>
  <c r="M59" i="5" s="1"/>
  <c r="N58" i="5"/>
  <c r="P58" i="5" s="1"/>
  <c r="Q58" i="5" s="1"/>
  <c r="L58" i="5"/>
  <c r="M58" i="5" s="1"/>
  <c r="N57" i="5"/>
  <c r="P57" i="5" s="1"/>
  <c r="Q57" i="5" s="1"/>
  <c r="L57" i="5"/>
  <c r="M57" i="5" s="1"/>
  <c r="N56" i="5"/>
  <c r="P56" i="5" s="1"/>
  <c r="Q56" i="5" s="1"/>
  <c r="L56" i="5"/>
  <c r="M56" i="5" s="1"/>
  <c r="L55" i="5"/>
  <c r="M55" i="5" s="1"/>
  <c r="N55" i="5"/>
  <c r="P55" i="5" s="1"/>
  <c r="Q55" i="5" s="1"/>
  <c r="L54" i="5"/>
  <c r="M54" i="5" s="1"/>
  <c r="N54" i="5"/>
  <c r="P54" i="5" s="1"/>
  <c r="Q54" i="5" s="1"/>
  <c r="L53" i="5"/>
  <c r="M53" i="5" s="1"/>
  <c r="N53" i="5"/>
  <c r="P53" i="5" s="1"/>
  <c r="Q53" i="5" s="1"/>
  <c r="N52" i="5"/>
  <c r="P52" i="5" s="1"/>
  <c r="Q52" i="5" s="1"/>
  <c r="L52" i="5"/>
  <c r="M52" i="5" s="1"/>
  <c r="L51" i="5"/>
  <c r="M51" i="5" s="1"/>
  <c r="N51" i="5"/>
  <c r="P51" i="5" s="1"/>
  <c r="Q51" i="5" s="1"/>
  <c r="L50" i="5"/>
  <c r="M50" i="5" s="1"/>
  <c r="N50" i="5"/>
  <c r="P50" i="5" s="1"/>
  <c r="Q50" i="5" s="1"/>
  <c r="L49" i="5"/>
  <c r="M49" i="5" s="1"/>
  <c r="N49" i="5"/>
  <c r="P49" i="5" s="1"/>
  <c r="Q49" i="5" s="1"/>
  <c r="N48" i="5"/>
  <c r="P48" i="5" s="1"/>
  <c r="Q48" i="5" s="1"/>
  <c r="L48" i="5"/>
  <c r="M48" i="5" s="1"/>
  <c r="N47" i="5"/>
  <c r="P47" i="5" s="1"/>
  <c r="Q47" i="5" s="1"/>
  <c r="L47" i="5"/>
  <c r="M47" i="5" s="1"/>
  <c r="N46" i="5"/>
  <c r="P46" i="5" s="1"/>
  <c r="Q46" i="5" s="1"/>
  <c r="L46" i="5"/>
  <c r="M46" i="5" s="1"/>
  <c r="L45" i="5"/>
  <c r="M45" i="5" s="1"/>
  <c r="N45" i="5"/>
  <c r="P45" i="5" s="1"/>
  <c r="Q45" i="5" s="1"/>
  <c r="N44" i="5"/>
  <c r="P44" i="5" s="1"/>
  <c r="Q44" i="5" s="1"/>
  <c r="L44" i="5"/>
  <c r="M44" i="5" s="1"/>
  <c r="N43" i="5"/>
  <c r="P43" i="5" s="1"/>
  <c r="Q43" i="5" s="1"/>
  <c r="L43" i="5"/>
  <c r="M43" i="5" s="1"/>
  <c r="L42" i="5"/>
  <c r="M42" i="5" s="1"/>
  <c r="N42" i="5"/>
  <c r="P42" i="5" s="1"/>
  <c r="Q42" i="5" s="1"/>
  <c r="N41" i="5"/>
  <c r="P41" i="5" s="1"/>
  <c r="Q41" i="5" s="1"/>
  <c r="L41" i="5"/>
  <c r="M41" i="5" s="1"/>
  <c r="N40" i="5"/>
  <c r="P40" i="5" s="1"/>
  <c r="Q40" i="5" s="1"/>
  <c r="L40" i="5"/>
  <c r="M40" i="5" s="1"/>
  <c r="N39" i="5"/>
  <c r="P39" i="5" s="1"/>
  <c r="Q39" i="5" s="1"/>
  <c r="L39" i="5"/>
  <c r="M39" i="5" s="1"/>
  <c r="N38" i="5"/>
  <c r="P38" i="5" s="1"/>
  <c r="Q38" i="5" s="1"/>
  <c r="L38" i="5"/>
  <c r="M38" i="5" s="1"/>
  <c r="N37" i="5"/>
  <c r="P37" i="5" s="1"/>
  <c r="Q37" i="5" s="1"/>
  <c r="L37" i="5"/>
  <c r="M37" i="5" s="1"/>
  <c r="N36" i="5"/>
  <c r="P36" i="5" s="1"/>
  <c r="Q36" i="5" s="1"/>
  <c r="L36" i="5"/>
  <c r="M36" i="5" s="1"/>
  <c r="N35" i="5"/>
  <c r="P35" i="5" s="1"/>
  <c r="Q35" i="5" s="1"/>
  <c r="L35" i="5"/>
  <c r="M35" i="5" s="1"/>
  <c r="L34" i="5"/>
  <c r="M34" i="5" s="1"/>
  <c r="N34" i="5"/>
  <c r="P34" i="5" s="1"/>
  <c r="Q34" i="5" s="1"/>
  <c r="L33" i="5"/>
  <c r="M33" i="5" s="1"/>
  <c r="N33" i="5"/>
  <c r="P33" i="5" s="1"/>
  <c r="Q33" i="5" s="1"/>
  <c r="L32" i="5"/>
  <c r="M32" i="5" s="1"/>
  <c r="N32" i="5"/>
  <c r="P32" i="5" s="1"/>
  <c r="Q32" i="5" s="1"/>
  <c r="N31" i="5"/>
  <c r="P31" i="5" s="1"/>
  <c r="Q31" i="5" s="1"/>
  <c r="L31" i="5"/>
  <c r="M31" i="5" s="1"/>
  <c r="L30" i="5"/>
  <c r="M30" i="5" s="1"/>
  <c r="N30" i="5"/>
  <c r="P30" i="5" s="1"/>
  <c r="Q30" i="5" s="1"/>
  <c r="L29" i="5"/>
  <c r="M29" i="5" s="1"/>
  <c r="N29" i="5"/>
  <c r="P29" i="5" s="1"/>
  <c r="Q29" i="5" s="1"/>
  <c r="L28" i="5"/>
  <c r="M28" i="5" s="1"/>
  <c r="N28" i="5"/>
  <c r="P28" i="5" s="1"/>
  <c r="Q28" i="5" s="1"/>
  <c r="L27" i="5"/>
  <c r="M27" i="5" s="1"/>
  <c r="N27" i="5"/>
  <c r="P27" i="5" s="1"/>
  <c r="Q27" i="5" s="1"/>
  <c r="L26" i="5"/>
  <c r="M26" i="5" s="1"/>
  <c r="N26" i="5"/>
  <c r="P26" i="5" s="1"/>
  <c r="Q26" i="5" s="1"/>
  <c r="L25" i="5"/>
  <c r="M25" i="5" s="1"/>
  <c r="N25" i="5"/>
  <c r="P25" i="5" s="1"/>
  <c r="Q25" i="5" s="1"/>
  <c r="N24" i="5"/>
  <c r="P24" i="5" s="1"/>
  <c r="Q24" i="5" s="1"/>
  <c r="L24" i="5"/>
  <c r="M24" i="5" s="1"/>
  <c r="L23" i="5"/>
  <c r="M23" i="5" s="1"/>
  <c r="N23" i="5"/>
  <c r="P23" i="5" s="1"/>
  <c r="Q23" i="5" s="1"/>
  <c r="N22" i="5"/>
  <c r="P22" i="5" s="1"/>
  <c r="Q22" i="5" s="1"/>
  <c r="L22" i="5"/>
  <c r="M22" i="5" s="1"/>
  <c r="N21" i="5"/>
  <c r="P21" i="5" s="1"/>
  <c r="Q21" i="5" s="1"/>
  <c r="L21" i="5"/>
  <c r="M21" i="5" s="1"/>
  <c r="L20" i="5"/>
  <c r="M20" i="5" s="1"/>
  <c r="N20" i="5"/>
  <c r="P20" i="5" s="1"/>
  <c r="Q20" i="5" s="1"/>
  <c r="N19" i="5"/>
  <c r="P19" i="5" s="1"/>
  <c r="Q19" i="5" s="1"/>
  <c r="L19" i="5"/>
  <c r="M19" i="5" s="1"/>
  <c r="N18" i="5"/>
  <c r="P18" i="5" s="1"/>
  <c r="Q18" i="5" s="1"/>
  <c r="L18" i="5"/>
  <c r="M18" i="5" s="1"/>
  <c r="L17" i="5"/>
  <c r="M17" i="5" s="1"/>
  <c r="N17" i="5"/>
  <c r="P17" i="5" s="1"/>
  <c r="Q17" i="5" s="1"/>
  <c r="L16" i="5"/>
  <c r="M16" i="5" s="1"/>
  <c r="N16" i="5"/>
  <c r="P16" i="5" s="1"/>
  <c r="Q16" i="5" s="1"/>
  <c r="L15" i="5"/>
  <c r="M15" i="5" s="1"/>
  <c r="N15" i="5"/>
  <c r="P15" i="5" s="1"/>
  <c r="Q15" i="5" s="1"/>
  <c r="N14" i="5"/>
  <c r="P14" i="5" s="1"/>
  <c r="Q14" i="5" s="1"/>
  <c r="L14" i="5"/>
  <c r="M14" i="5" s="1"/>
  <c r="L13" i="5"/>
  <c r="M13" i="5" s="1"/>
  <c r="N13" i="5"/>
  <c r="P13" i="5" s="1"/>
  <c r="Q13" i="5" s="1"/>
  <c r="L12" i="5"/>
  <c r="M12" i="5" s="1"/>
  <c r="N12" i="5"/>
  <c r="P12" i="5" s="1"/>
  <c r="Q12" i="5" s="1"/>
  <c r="L11" i="5"/>
  <c r="M11" i="5" s="1"/>
  <c r="N11" i="5"/>
  <c r="P11" i="5" s="1"/>
  <c r="Q11" i="5" s="1"/>
  <c r="L10" i="5"/>
  <c r="M10" i="5" s="1"/>
  <c r="N10" i="5"/>
  <c r="P10" i="5" s="1"/>
  <c r="Q10" i="5" s="1"/>
  <c r="L8" i="5"/>
  <c r="M8" i="5" s="1"/>
  <c r="N8" i="5"/>
  <c r="P8" i="5" s="1"/>
  <c r="Q8" i="5" s="1"/>
  <c r="N7" i="5"/>
  <c r="P7" i="5" s="1"/>
  <c r="Q7" i="5" s="1"/>
  <c r="L7" i="5"/>
  <c r="M7" i="5" s="1"/>
  <c r="N6" i="5"/>
  <c r="P6" i="5" s="1"/>
  <c r="Q6" i="5" s="1"/>
  <c r="L6" i="5"/>
  <c r="M6" i="5" s="1"/>
  <c r="L5" i="5"/>
  <c r="M5" i="5" s="1"/>
  <c r="N5" i="5"/>
  <c r="P5" i="5" s="1"/>
  <c r="Q5" i="5" s="1"/>
  <c r="L4" i="5"/>
  <c r="M4" i="5" s="1"/>
  <c r="N4" i="5"/>
  <c r="P4" i="5" s="1"/>
  <c r="Q4" i="5" s="1"/>
  <c r="L3" i="5"/>
  <c r="M3" i="5" s="1"/>
  <c r="N3" i="5"/>
  <c r="P3" i="5" s="1"/>
  <c r="Q3" i="5" s="1"/>
  <c r="L2" i="5"/>
  <c r="M2" i="5" s="1"/>
  <c r="N2" i="5"/>
  <c r="D11" i="3"/>
  <c r="D12" i="3"/>
  <c r="C11" i="3"/>
  <c r="C12" i="3"/>
  <c r="B11" i="3"/>
  <c r="B12" i="3"/>
  <c r="W4" i="5"/>
  <c r="P2" i="5" l="1"/>
  <c r="W3" i="5"/>
  <c r="W12" i="5"/>
  <c r="W11" i="5"/>
  <c r="D16" i="3"/>
  <c r="D17" i="3" s="1"/>
  <c r="D18" i="3"/>
  <c r="D19" i="3" s="1"/>
  <c r="D13" i="3"/>
  <c r="C16" i="3"/>
  <c r="C17" i="3" s="1"/>
  <c r="C20" i="3" s="1"/>
  <c r="C18" i="3"/>
  <c r="C19" i="3" s="1"/>
  <c r="C13" i="3"/>
  <c r="B16" i="3"/>
  <c r="B17" i="3" s="1"/>
  <c r="B18" i="3"/>
  <c r="B19" i="3" s="1"/>
  <c r="B13" i="3"/>
  <c r="Q2" i="5" l="1"/>
  <c r="W5" i="5"/>
  <c r="D20" i="3"/>
  <c r="B20" i="3"/>
  <c r="C21" i="3"/>
  <c r="C34" i="3" s="1"/>
  <c r="C24" i="3"/>
  <c r="W8" i="5" l="1"/>
  <c r="W7" i="5"/>
  <c r="W6" i="5"/>
  <c r="W10" i="5"/>
  <c r="W9" i="5"/>
  <c r="D24" i="3"/>
  <c r="D21" i="3"/>
  <c r="D34" i="3" s="1"/>
  <c r="B24" i="3"/>
  <c r="B21" i="3"/>
  <c r="B34" i="3" s="1"/>
  <c r="C28" i="3"/>
  <c r="C29" i="3" s="1"/>
  <c r="C33" i="3" s="1"/>
  <c r="C25" i="3"/>
  <c r="D28" i="3" l="1"/>
  <c r="D29" i="3" s="1"/>
  <c r="D33" i="3" s="1"/>
  <c r="D25" i="3"/>
  <c r="B28" i="3"/>
  <c r="B29" i="3" s="1"/>
  <c r="B33" i="3" s="1"/>
  <c r="B25" i="3"/>
</calcChain>
</file>

<file path=xl/sharedStrings.xml><?xml version="1.0" encoding="utf-8"?>
<sst xmlns="http://schemas.openxmlformats.org/spreadsheetml/2006/main" count="752" uniqueCount="458">
  <si>
    <t>cite_key</t>
  </si>
  <si>
    <t>author</t>
  </si>
  <si>
    <t>year</t>
  </si>
  <si>
    <t>title</t>
  </si>
  <si>
    <t>venue_or_publisher</t>
  </si>
  <si>
    <t>doi_or_url</t>
  </si>
  <si>
    <t>role</t>
  </si>
  <si>
    <t>beerling2018farming</t>
  </si>
  <si>
    <t>Beerling, David J. and Leake, Jonathan R. and Long, Stephen P. and Scholes, Julie D. and Ton, Jurriaan and Nelson, Paul N. and Bird, Michael and Kantzas, Euripides and Taylor, Lyla L. and Sarkar, Binoy and Kelland, Mike and DeLucia, Evan and Kantola, Ilsa and Muller, Christoph and Rau, Greg and Hansen, James</t>
  </si>
  <si>
    <t>2018</t>
  </si>
  <si>
    <t>Farming with crops and rocks to address global climate, food and soil security</t>
  </si>
  <si>
    <t>Nature Plants; vol. 4; pp. 138--147</t>
  </si>
  <si>
    <t>doi:10.1038/s41477-018-0108-y</t>
  </si>
  <si>
    <t>In manuscript bibliography</t>
  </si>
  <si>
    <t>kelland2020increased</t>
  </si>
  <si>
    <t>Kelland, Mike E. and Wade, Peter W. and Lewis, Amy L. and Taylor, Lyla L. and Mayall, Michael and James, Rachael H. and Sheridan, James A. and Andrews, M. Grace and Sheridan, Michael and Sheridan, Terry M. and Pearce, Christopher R. and Sheridan, David and Epihov, Dimitar Z. and Sheridan, Andrew and Sheridan, Richard and Beerling, David J.</t>
  </si>
  <si>
    <t>2020</t>
  </si>
  <si>
    <t>Increased yield and CO$_2$ sequestration potential with the C$_4$ cereal \textitSorghum bicolor cultivated in basaltic rock dust-amended agricultural soil</t>
  </si>
  <si>
    <t>Global Change Biology; vol. 26; pp. 3658--3676</t>
  </si>
  <si>
    <t>doi:10.1111/gcb.15089</t>
  </si>
  <si>
    <t>fao2015status</t>
  </si>
  <si>
    <t>FAO and ITPS</t>
  </si>
  <si>
    <t>2015</t>
  </si>
  <si>
    <t>Status of the World's Soil Resources (SWSR)—Main Report</t>
  </si>
  <si>
    <t>Food and Agriculture Organization of the United Nations and Intergovernmental Technical Panel on Soils</t>
  </si>
  <si>
    <t>nsso2021sas77</t>
  </si>
  <si>
    <t>National Statistical Office</t>
  </si>
  <si>
    <t>2021</t>
  </si>
  <si>
    <t>Situation Assessment of Agricultural Households and Land and Holdings of Households in Rural India, 2019</t>
  </si>
  <si>
    <t>Ministry of Statistics and Programme Implementation, Government of India; SAS-77, covering agricultural year July 2018 to June 2019</t>
  </si>
  <si>
    <t>ricciardi2018smallholders</t>
  </si>
  <si>
    <t>Ricciardi, Vincent and Ramankutty, Navin and Mehrabi, Zia and Jarvis, Lian and Chookolingo, Brenton</t>
  </si>
  <si>
    <t>How much of the world's food do smallholders produce?</t>
  </si>
  <si>
    <t>Global Food Security; vol. 17; pp. 64--72</t>
  </si>
  <si>
    <t>doi:10.1016/j.gfs.2017.10.001</t>
  </si>
  <si>
    <t>menegat2022greenhouse</t>
  </si>
  <si>
    <t>Menegat, Stefano and Ledo, Alicia and Tirado, Reyes</t>
  </si>
  <si>
    <t>2022</t>
  </si>
  <si>
    <t>Greenhouse gas emissions from global production and use of nitrogen synthetic fertilisers in agriculture</t>
  </si>
  <si>
    <t>Scientific Reports; vol. 12; pp. 14490</t>
  </si>
  <si>
    <t>doi:10.1038/s41598-022-18773-w</t>
  </si>
  <si>
    <t>isf2025smallholder</t>
  </si>
  <si>
    <t>ISF Advisors</t>
  </si>
  <si>
    <t>2025</t>
  </si>
  <si>
    <t>Beyond the Frontier: Decoding Viability in Smallholder Finance</t>
  </si>
  <si>
    <t>https://isfadvisors.co/beyond-the-frontier-smallholder-finance/</t>
  </si>
  <si>
    <t>vanlauwe2014sustainable</t>
  </si>
  <si>
    <t>Vanlauwe, Bernard and Coyne, Danny and Gockowski, Jim and Hauser, Stefan and Huising, Jeroen and Masso, Cargele and Nziguheba, Generose and Schut, Marc and Van Asten, Piet</t>
  </si>
  <si>
    <t>2014</t>
  </si>
  <si>
    <t>Sustainable intensification and the African smallholder farmer</t>
  </si>
  <si>
    <t>Current Opinion in Environmental Sustainability; vol. 8; pp. 15--22</t>
  </si>
  <si>
    <t>doi:10.1016/j.cosust.2014.06.001</t>
  </si>
  <si>
    <t>fao1993rice</t>
  </si>
  <si>
    <t>Juliano, Bienvenido O.</t>
  </si>
  <si>
    <t>1993</t>
  </si>
  <si>
    <t>Rice in Human Nutrition</t>
  </si>
  <si>
    <t>Food and Agriculture Organization of the United Nations; FAO Food and Nutrition Series</t>
  </si>
  <si>
    <t>goi2019agcensus</t>
  </si>
  <si>
    <t>Government of India</t>
  </si>
  <si>
    <t>2019</t>
  </si>
  <si>
    <t>Agriculture Census 2015–16: All India Report on Number and Area of Operational Holdings</t>
  </si>
  <si>
    <t>Department of Agriculture, Cooperation and Farmers' Welfare, Ministry of Agriculture and Farmers' Welfare</t>
  </si>
  <si>
    <t>gulati2015rationalising</t>
  </si>
  <si>
    <t>Gulati, Ashok and Banerjee, Pritha</t>
  </si>
  <si>
    <t>Rationalising Fertiliser Subsidy in India: Key Issues and Policy Options</t>
  </si>
  <si>
    <t>Indian Council for Research on International Economic Relations (ICRIER)</t>
  </si>
  <si>
    <t>sapkota2025nitrogen</t>
  </si>
  <si>
    <t>Sapkota, Tek B. and Bijay-Singh</t>
  </si>
  <si>
    <t>India's fertilizer policies: implications for food security, environmental sustainability, and climate change</t>
  </si>
  <si>
    <t>Regional Environmental Change; vol. 25; pp. 63</t>
  </si>
  <si>
    <t>doi:10.1007/s10113-025-02395-9</t>
  </si>
  <si>
    <t>ccea2025msp</t>
  </si>
  <si>
    <t>Cabinet Committee on Economic Affairs</t>
  </si>
  <si>
    <t>Cabinet approves Minimum Support Prices (MSP) for Kharif crops for Marketing Season 2025–26</t>
  </si>
  <si>
    <t>Press Release, Press Information Bureau, Government of India</t>
  </si>
  <si>
    <t>https://www.pib.gov.in/PressReleasePage.aspx?PRID=2131983</t>
  </si>
  <si>
    <t>mospi2025cpi</t>
  </si>
  <si>
    <t>Ministry of Statistics and Programme Implementation</t>
  </si>
  <si>
    <t>Consumer Price Index Numbers on Base 2012=100 for Rural, Urban and Combined for the Month of October, 2025</t>
  </si>
  <si>
    <t>National Statistical Office, Government of India</t>
  </si>
  <si>
    <t>https://www.mospi.gov.in</t>
  </si>
  <si>
    <t>Calculation input — not cited in manuscript text</t>
  </si>
  <si>
    <t>cgkuy2025</t>
  </si>
  <si>
    <t>Government of Chhattisgarh</t>
  </si>
  <si>
    <t>Krishak Unnati Yojana: State paddy procurement bonus, Kharif Marketing Season 2025–26</t>
  </si>
  <si>
    <t>Department of Food, Civil Supplies and Consumer Protection, Government of Chhattisgarh</t>
  </si>
  <si>
    <t>jharkhandbonus2025</t>
  </si>
  <si>
    <t>Government of Jharkhand</t>
  </si>
  <si>
    <t>State paddy procurement bonus of INR 81 per quintal, Kharif Marketing Season 2025–26</t>
  </si>
  <si>
    <t>Department of Food, Public Distribution and Consumer Affairs, Government of Jharkhand</t>
  </si>
  <si>
    <t>itinshwartz2026</t>
  </si>
  <si>
    <t>Itin-Shwartz, Boaz</t>
  </si>
  <si>
    <t>2026</t>
  </si>
  <si>
    <t>Proportional payload allocation model for incremental transport cost attribution in smallholder agriculture</t>
  </si>
  <si>
    <t>Manuscript</t>
  </si>
  <si>
    <t>nitiaayog2021</t>
  </si>
  <si>
    <t>NITI Aayog</t>
  </si>
  <si>
    <t>Goods Transport Cost and Logistics Benchmarks in India</t>
  </si>
  <si>
    <t>NITI Aayog, Government of India</t>
  </si>
  <si>
    <t>goi2025packaging</t>
  </si>
  <si>
    <t>Tender pricing for jute gunny bags (50 kg) for paddy procurement, Kharif Marketing Season 2025–26</t>
  </si>
  <si>
    <t>Department of Food and Public Distribution, Ministry of Consumer Affairs, Food and Public Distribution</t>
  </si>
  <si>
    <t>exchangerates2025</t>
  </si>
  <si>
    <t>Exchange-Rates.org</t>
  </si>
  <si>
    <t>Indian Rupee to US Dollar (INR/USD) annual average exchange rate, 2025</t>
  </si>
  <si>
    <t>Online</t>
  </si>
  <si>
    <t>https://www.exchange-rates.org/exchange-rate-history/inr-usd-2025</t>
  </si>
  <si>
    <t>PRICE ASSUMPTIONS — KMS 2025-26</t>
  </si>
  <si>
    <t>Central MSP, common paddy 2024-25 (INR/quintal)</t>
  </si>
  <si>
    <t>Source: CCEA (2024); Kharif Marketing Season 2024-25</t>
  </si>
  <si>
    <t>Exchange rate, 2025 annual average (INR/USD)</t>
  </si>
  <si>
    <t>Source: Exchange-Rates.org; 2025 annual avg 1 USD = 87.159 INR</t>
  </si>
  <si>
    <t>Median yield uplift (%)</t>
  </si>
  <si>
    <t>Source: This study; median dY from 216 Kharif paired measurements</t>
  </si>
  <si>
    <t>Baseline yield (Q/acre)</t>
  </si>
  <si>
    <t>Source: This study; mean control plot yield across deployments</t>
  </si>
  <si>
    <t>STATE-LEVEL EFFECTIVE PROCUREMENT PRICES</t>
  </si>
  <si>
    <t>Chhattisgarh</t>
  </si>
  <si>
    <t>Madhya Pradesh</t>
  </si>
  <si>
    <t>Jharkhand</t>
  </si>
  <si>
    <t>State paddy bonus (INR/quintal)</t>
  </si>
  <si>
    <t>CG: Krishak Unnati Yojana (GoC, 2024); MP: no per-quintal paddy bonus confirmed; JH: Cabinet Sep 2024, PTI/Cabinet Sec. Vandana Dadel</t>
  </si>
  <si>
    <t>Effective procurement price (INR/quintal)</t>
  </si>
  <si>
    <t>Central MSP + state bonus</t>
  </si>
  <si>
    <t>Average operational holding (acres)</t>
  </si>
  <si>
    <t>Source: Agriculture Census 2015-16; CG consistent with Jordan et al. deployment mean (3.44 ac)</t>
  </si>
  <si>
    <t>Annual HH income, SAS-77 (INR, 2018-19 nominal)</t>
  </si>
  <si>
    <t>Source: SAS-77 (NSO, 2021), PIB Release ID 1884228; monthly x 12</t>
  </si>
  <si>
    <t>Rural CPI, SAS-77 ref period (Base 2012=100)</t>
  </si>
  <si>
    <t>Implied from paper Extended Data; CG uprated to ~164,000 INR</t>
  </si>
  <si>
    <t>Rural CPI, October 2025 (Base 2012=100)</t>
  </si>
  <si>
    <t>Source: MoSPI, NSO (2025); Rural CPI October 2025</t>
  </si>
  <si>
    <t>CPI-uprated annual HH income (INR, 2025 prices)</t>
  </si>
  <si>
    <t>Nominal HH income x (CPI Oct 2025 / CPI base period)</t>
  </si>
  <si>
    <t>CPI-uprated annual HH income (USD)</t>
  </si>
  <si>
    <t>CPI-uprated HH income (INR) / exchange rate</t>
  </si>
  <si>
    <t>TRANSPORT &amp; PACKAGING COST ASSUMPTIONS</t>
  </si>
  <si>
    <t>Transport distance (km)</t>
  </si>
  <si>
    <t>Source: Itin-Shwartz (2026)</t>
  </si>
  <si>
    <t>Transport cost per km, 5t truck (INR/km)</t>
  </si>
  <si>
    <t>Source: NITI Aayog (2021)</t>
  </si>
  <si>
    <t>Backhaul factor</t>
  </si>
  <si>
    <t>Standard proportional payload allocation</t>
  </si>
  <si>
    <t>Packaging cost per 50kg bag (INR)</t>
  </si>
  <si>
    <t>Source: GoI, Min Consumer Affairs (2025); KMS 2025-26</t>
  </si>
  <si>
    <t>Transport cost per tonne (INR/t)</t>
  </si>
  <si>
    <t>Distance x cost/km x backhaul factor</t>
  </si>
  <si>
    <t>NET FARMER INCOME MODEL — ERW YIELD UPLIFT (KMS 2024-25)</t>
  </si>
  <si>
    <t>Average</t>
  </si>
  <si>
    <t>INPUTS</t>
  </si>
  <si>
    <t>Effective procurement price (INR/Q)</t>
  </si>
  <si>
    <t>Average farm size (acres)</t>
  </si>
  <si>
    <t>PER-ACRE GROSS INCOME</t>
  </si>
  <si>
    <t>Yield uplift per acre (Q)</t>
  </si>
  <si>
    <t>Yield uplift per acre (kg)</t>
  </si>
  <si>
    <t>Gross added income per acre (INR)</t>
  </si>
  <si>
    <t>Gross added income per acre (USD)</t>
  </si>
  <si>
    <t>PER-ACRE COST DEDUCTIONS</t>
  </si>
  <si>
    <t>Incremental yield per acre (tonnes)</t>
  </si>
  <si>
    <t>Transport cost per acre (INR)</t>
  </si>
  <si>
    <t>Number of 50kg bags per acre</t>
  </si>
  <si>
    <t>Packaging cost per acre (INR)</t>
  </si>
  <si>
    <t>Total deduction per acre (INR)</t>
  </si>
  <si>
    <t>Total deduction per acre (USD)</t>
  </si>
  <si>
    <t>NET INCOME PER ACRE</t>
  </si>
  <si>
    <t>Net added income per acre (INR)</t>
  </si>
  <si>
    <t>Net added income per acre (USD)</t>
  </si>
  <si>
    <t>PER-FARMER NET INCOME (SCALED TO HOLDING)</t>
  </si>
  <si>
    <t>Net added income per farmer (INR)</t>
  </si>
  <si>
    <t>Net added income per farmer (USD)</t>
  </si>
  <si>
    <t>CONTEXT</t>
  </si>
  <si>
    <t>Annual HH income, CPI-uprated (USD)</t>
  </si>
  <si>
    <t>Net income per farmer as % of HH income</t>
  </si>
  <si>
    <t>Deduction as % of gross (per acre)</t>
  </si>
  <si>
    <t>METHODOLOGY</t>
  </si>
  <si>
    <t xml:space="preserve">  1. Net income = gross revenue from yield uplift minus incremental transport and packaging costs only.</t>
  </si>
  <si>
    <t xml:space="preserve">  2. Basalt is provided at no cost; cultivation practices unchanged; no other incremental costs incurred.</t>
  </si>
  <si>
    <t xml:space="preserve">  3. Transport: proportional payload model — d=20km, c=INR 35/km, 5t truck, backhaul factor=2 -&gt; INR 1,400/tonne.</t>
  </si>
  <si>
    <t xml:space="preserve">  4. Packaging: INR 10.22 per 50kg bag (GoI revised rate, KMS 2025-26).</t>
  </si>
  <si>
    <t xml:space="preserve">  5. CG effective price: INR 3,100/Q (central MSP INR 2,300 + INR 800 Krishak Unnati Yojana bonus; GoC Food Dept).</t>
  </si>
  <si>
    <t xml:space="preserve">  6. MP effective price: INR 2,300/Q (central MSP only; no authoritative per-quintal paddy bonus confirmed for KMS 2024-25).</t>
  </si>
  <si>
    <t xml:space="preserve">  7. JH effective price: INR 2,400/Q (central MSP INR 2,300 + INR 100 state bonus; GoJ Cabinet Sep 2024, PTI).</t>
  </si>
  <si>
    <t xml:space="preserve">  8. Exchange rate: 87.16 INR/USD (2025 annual average; Exchange-Rates.org).</t>
  </si>
  <si>
    <t xml:space="preserve">  9. HH income: SAS-77 (NSO, 2021) CPI-uprated to 2025 prices using Rural CPI (Base 2012=100).</t>
  </si>
  <si>
    <t xml:space="preserve">  10. CPI base period: ~140.9 (implied from paper Extended Data); CPI Oct 2025: 199.0 (MoSPI, NSO).</t>
  </si>
  <si>
    <t xml:space="preserve">  11. Baseline yield of 13.30 Q/acre from this study's measured control plots.</t>
  </si>
  <si>
    <t xml:space="preserve">  12. Farm sizes: Agriculture Census 2015-16 state averages.</t>
  </si>
  <si>
    <t>Location</t>
  </si>
  <si>
    <t>N</t>
  </si>
  <si>
    <t>x̄ (%)</t>
  </si>
  <si>
    <t>x̃ (%)</t>
  </si>
  <si>
    <t>σ (%)</t>
  </si>
  <si>
    <t>A (ha)</t>
  </si>
  <si>
    <t>A (t ha⁻¹)</t>
  </si>
  <si>
    <t>M (t)</t>
  </si>
  <si>
    <t>GPM</t>
  </si>
  <si>
    <t>Seoni</t>
  </si>
  <si>
    <t>Pakur</t>
  </si>
  <si>
    <t>Nainpur</t>
  </si>
  <si>
    <t>Shahdol</t>
  </si>
  <si>
    <t>Total</t>
  </si>
  <si>
    <t>farmer_id</t>
  </si>
  <si>
    <t>village_id</t>
  </si>
  <si>
    <t>mati_field_production</t>
  </si>
  <si>
    <t>base_id</t>
  </si>
  <si>
    <t>without_mati_field_production</t>
  </si>
  <si>
    <t>diff_production</t>
  </si>
  <si>
    <t>paddy_wt_mati_sqr_patch</t>
  </si>
  <si>
    <t>control_paddy_wt_mati_sqr_patch</t>
  </si>
  <si>
    <t>paddy_wt_diff</t>
  </si>
  <si>
    <t>Paddy weightwith Mati field in 1m-sq patch</t>
  </si>
  <si>
    <t>Paddy weight without Mati field in 1m-sq patch</t>
  </si>
  <si>
    <t>weight difference</t>
  </si>
  <si>
    <t>Percent Increase</t>
  </si>
  <si>
    <t>Crop_cut mati field production(quintal/Acre)</t>
  </si>
  <si>
    <t>Crop_cut control mati field production(quintal/Acre)</t>
  </si>
  <si>
    <t>Difference in production</t>
  </si>
  <si>
    <t>Absolute Impact</t>
  </si>
  <si>
    <t>Acres</t>
  </si>
  <si>
    <t>Tonnage</t>
  </si>
  <si>
    <t>remarks</t>
  </si>
  <si>
    <t>Indicator</t>
  </si>
  <si>
    <t>Description</t>
  </si>
  <si>
    <t>Values</t>
  </si>
  <si>
    <t>Count of farmer_id</t>
  </si>
  <si>
    <t>Is farmer ko pichle saal ki tulna me is saal achha production mila hai. pichhale sal se is bar achha h abki is saal isme badhoti dekhne ko mili.
Deployment me farmer ne 135 din wali variety lagayi hai, jiska performance is field me achha raha.
Control me 120 din wali variety lagi thi, aur field thoda high-level par hone ki wajah se paani jama nahi ho paaya, isliye production kam aaya.</t>
  </si>
  <si>
    <t>Number of Farmers (N)(With both control and deployed plot)</t>
  </si>
  <si>
    <t>Total valid observations</t>
  </si>
  <si>
    <t>is varsh dhaan ka quality achcha hai and dhaan ka vajan bhi achcha hai.</t>
  </si>
  <si>
    <t>Avg Deployed Yield (q/acre)</t>
  </si>
  <si>
    <t>Mean yield under MATI</t>
  </si>
  <si>
    <t>is varsh Khet ka dhaan bahut Achcha Hua Hai dhaan ka color bhi bahut Sundar Hai dhaan ka vajan pichhle varshon ki tulna mein is varsh jyada hai.</t>
  </si>
  <si>
    <t>Avg Control Yield (q/acre)</t>
  </si>
  <si>
    <t>Mean yield without MATI</t>
  </si>
  <si>
    <t>किसान ने बताया की उसकी फसल अच्छा है और अच्छी उपज मिलने की बात कही है</t>
  </si>
  <si>
    <t>Avg Yield Difference (q/acre)</t>
  </si>
  <si>
    <t>Mean gain per farmer</t>
  </si>
  <si>
    <t>jis Khet mein Mati purak lagaye Hain usmein achcha dhaan hua Hai aur paraali bhi achcha dikhta Hai aur lamba hai jis Khet mein Mati purak nahin lagaye Hain uski tulna mein aage bhi Kisan matipura ka prayog karne ki ichcha jahir karta hai</t>
  </si>
  <si>
    <t>Avg Yield Impact (%)</t>
  </si>
  <si>
    <t>Mean % change</t>
  </si>
  <si>
    <t>phasal achha hai</t>
  </si>
  <si>
    <t>Median Yield Impact (%)</t>
  </si>
  <si>
    <t>Robust % impact</t>
  </si>
  <si>
    <t>is varsh mati diploy field mein dhaan bahut achcha tha jisse dhaan ka quality bahut behtar hua hai aur dhaan ka vajan bhi bahut jyada badha hua Hai.</t>
  </si>
  <si>
    <t>Trimmed Mean Impact (%)</t>
  </si>
  <si>
    <t>Impact excluding extremes</t>
  </si>
  <si>
    <t>माटी पूरक का प्रभाव शानदार रहा कीट रोग में कमी आयाकल्ले की संख्या मे वृद्धि और बालियों की लंबाई मे वृद्धि देखा गया दाना वजनदार दिख रहा है।
Is farmer ko pichle saal ki tulna me is saal achha production mila hai. Pichle saal inka production 12 Q tha, jabki is saal isme badhoti dekhne ko mili.</t>
  </si>
  <si>
    <t>Min Impact (%)</t>
  </si>
  <si>
    <t>Worst observed impact</t>
  </si>
  <si>
    <t>उत्पादन अच्छा हुआ है, कीट रोग की समस्या में कमी आया है, दाना वजनदार है.
Pichle varsh farmer ka yield kam tha, lekin is saal me behtar hasil mila.
Deployment plot me same fertilizer treatment diya gaya, jis se crop health acche se maintained rahi.
Control plot me pani ka flow irregular tha, jiski wajah se production utna nahi ho saka.</t>
  </si>
  <si>
    <t>Max Impact (%)</t>
  </si>
  <si>
    <t>Best observed impact</t>
  </si>
  <si>
    <t>1. En Farmer ko pechle varsh ki apech kafi jada production mil hai. Pichele varsh enke production 24 Q hui thi.
2. En Farmer ne Depolyment me 135 din wali dhaan lagaya hai joki achhi uhi hai 
3. Control me 120 din wali dhaan lagi the aur yah field upper stream per hone se in field se pani me rukao nahi hone se dhaan me production kam hua.</t>
  </si>
  <si>
    <t>Max Yield Deployed Plot(q/acre)</t>
  </si>
  <si>
    <t>From Crop Cut</t>
  </si>
  <si>
    <t xml:space="preserve">Is farmer ko pichle saal ki tulna me is saal achha production mila hai. Pichle saal inka production10 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</si>
  <si>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Min Yield Deployed Plot(q/acre)</t>
  </si>
  <si>
    <t xml:space="preserve">1. मिट्टी पूरक का बहुत अच्छा प्रभाव रहा है।
2. इस वर्ष किसी भी प्रकार की बीमारी नहीं लगी है।
3. रासायनिक खाद का कम उपयोग करने के बावजूद फसल का बढ़ाव अच्छा हुआ है और उत्पादन भी अच्छा होने की संभावना है।
</t>
  </si>
  <si>
    <t>1. Pichale Varsh ki utpadan 22 Q hua tha, es varsh 2 Q ki virdhi hui hai.
2. Deployment khet ki dhaan control se achhi hue hai.
3. control ki agrowaste gilli wastha me hai aur Deployment ki dry hai, is wajas se control agrowaste weight jada hua.</t>
  </si>
  <si>
    <t>Fasal badiya bani thi or growth bi achi huyi thi jis karan se Control plot mai upaj kham or Deployed polt mai upja jada nikli hai</t>
  </si>
  <si>
    <t>phasal gunvatta kafi achha h</t>
  </si>
  <si>
    <t>Deployment plot me same variety lagayi gayi hai, aur is par sahi samay par pani aur poshan mila.</t>
  </si>
  <si>
    <t>किसान का उत्पादन अच्छा हुआ है एवं माटी पूरक डालने के बाद उत्पादन में वृद्धि भी हुई है</t>
  </si>
  <si>
    <t>Control me 120 din wali variety lagi thi, aur field thoda high-level par hone ki wajah se paani jama nahi ho paaya, isliye production kam aaya.</t>
  </si>
  <si>
    <t xml:space="preserve">Pichle varsh ke mukable is saal farmer ka production behtar raha. Pichle saal 13 Q tha, is saal me vriddhi dekhi gayi.
Deployment plot me same variety lagayi gayi hai, aur is par sahi samay par pani aur poshan mila.
Control plot me paani ki kami ke karan plant growth prabhavit hui, jisse utpaadan me kami rahi.
</t>
  </si>
  <si>
    <t>Jis Khet mein Mati purak lagaya hai usmein jyada Dhan hua Hai control field ki tulna mein aage bhi matipurak ka prayog Apne kheto mein karenge Kisan</t>
  </si>
  <si>
    <t>फसल काफी अच्छा था उपज भी पिछले साल की अपेक्षा अधिक मिल सकती है</t>
  </si>
  <si>
    <t>Jis Khet mein Mati dala hai usmein achcha dhan hua hai aur parali bhi Mota ,Lamba hua Hai control field ki tulna mein</t>
  </si>
  <si>
    <t>is sal fasal ka vajan aur quality achcha hai ,</t>
  </si>
  <si>
    <t>kisan ko basalt se Jo fayde dikhe hai vo is prakar hai 
1. deployed plot me fasal vajandar hai jabki control plot ki fasal ka vajan Kam hai 
2. deployed plot me poudhe harvesting tak gire nahi jabki control plot ke poudhe harvesting ke pehle hi gir gye the</t>
  </si>
  <si>
    <t>Jis Jis Khet mein Mati purak dala hai usmein jyada Dhan hua Hai jismein nahin dala hai uski tulna mein</t>
  </si>
  <si>
    <t>control field ke apechha mati field me utapadan me badotri hua hai</t>
  </si>
  <si>
    <t>Kisan bahut khush hai jis Khet mein matipur lagaya hai usmein achcha Dan hua Hai aur uska Kunal bhi achcha hua Hai jis Khet mein matipura nahin lagaya uske tulna mein aur Kisan aage bhi matipura ka prayog karna chahta hai</t>
  </si>
  <si>
    <t>1.Pichale Varsh ki apekcha ish Saal fasal me vradhi hui hai 
2.Control field me bimari lgne se dhan tut kar jhad gya jisse control field me kami aai 
3.mati field par bimari nahi lagi
4.barish ka pani paryap hone se fasal achhi jabki pichale satra me ek pani ki wjah se kam hui thi</t>
  </si>
  <si>
    <t>mati purak lagane ke bad Khet mein bahut sare Parivartan dikhai diye dhaan bhi achcha hua Hai aur iska pwal bhi achcha hua Hai Kisan khush hai</t>
  </si>
  <si>
    <t>किसान का फसल काफी अच्छा है उपज भी पिछले साल की अपेक्षा अधिक होने की बात किसान ने कही है</t>
  </si>
  <si>
    <t>किसान के फसल में किसी प्रकार से रोग आदि नहीं लगा था और किसान ने बताया की इस साल अच्छी उपज मिल सकती है</t>
  </si>
  <si>
    <t>Jis Khet mein matipurak dala hai usmein jyada dhan hua Hai aur parale bhi Lamba or Mota hua Hai</t>
  </si>
  <si>
    <t>is bar Mati diploy karne ke bad Khet ka Mitti mein bahut Sudhar Hua Hai isse dhaan ka quality bahut behtar Hua Hai and dhaan ka vajan bhi bahut jyada hua hai.</t>
  </si>
  <si>
    <t xml:space="preserve">Is farmer ko pichle saal ki tulna me is saal achha production mila hai. Pichle saal inka production 12 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</si>
  <si>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Jis Jis Khet mein matepurak dala hai usmein jyada Dhanu Hai jismein nahin dala hai uske tulna mein aur aage bhi matipura ka prayog Kisan Apne kheton mein karenge</t>
  </si>
  <si>
    <t>pichhle sal ki tulna mein is sal dhaan ka fasal mein badhotari hua Hai Kunal bhi achcha hua hai aur Kisan khush hai aur aage bhi Mati purak ka prayog karna chahta hai</t>
  </si>
  <si>
    <t>Jis Jis Khet mein matipurak lagaye Hain usmein achcha dhan hua hai or jyada Dhan hua Hai Khet ka Mitti bhi Naram hua Hai or prali bhi lamba, Mota hua Hai</t>
  </si>
  <si>
    <t>mati purak ke dalne se fasal par 0.01 ka difference dikh rha hai</t>
  </si>
  <si>
    <t>Mati Purak ko dalne se Fasal mai acha fayda huya hai utpadan bi bhut acha huya hai</t>
  </si>
  <si>
    <t>pichhale sal ke ki tulna me is sal fasal ki utpadan teek hua hai</t>
  </si>
  <si>
    <t>इस वर्ष रोगों का प्रकोप कम रहने के कारण दवाइयों पर खर्च घटा। हल्की भूमि में मिट्टी पूरक का उपयोग किए गए क्षेत्रों में उत्पादन अपेक्षाकृत अधिक रहा, हालांकि पिछले वर्ष की तुलना में इस बार अपेक्षाएँ अधिक थीं।</t>
  </si>
  <si>
    <t>kisan ko fayda samajh aa rha hai jaha mati purak dala hai waha adhik utpadan ki sambhavna hai 
2. biomass semple me bhi deployed plot me control plot ke comparison me production jyada hai</t>
  </si>
  <si>
    <t>Kisan ko jada phayeda nahi dikha</t>
  </si>
  <si>
    <t>kisan ne btaya ki control plot ki fasal gir gyi hai dhan or deployed plot ki fasal khadi hai utpadan me bhi badhotri hone ki sambhavna hai</t>
  </si>
  <si>
    <t>matti se organic minerals mil rahe hai</t>
  </si>
  <si>
    <t xml:space="preserve">
कंट्रोल वाला खेत ऊँचाई पर स्थित होने के कारण वहाँ की मिट्टी में पानी आसानी से नहीं ठहरता, जिससे नमी की कमी हो गई और उत्पादन कम रहा। इसके विपरीत, जिस खेत में डिप्लॉयमेंट किया गया है, वहाँ पानी की उपलब्धता और सप्लाई अच्छी है, इसलिए फसल की वृद्धि और उत्पादन दोनों बेहतर प्राप्त हुए।</t>
  </si>
  <si>
    <t>control field upri hisse me hai mati field niche ke hisse me hai upri jagah me pani ki kuch wyawstha nhi hai jiske ke karan fasal utpadan me antar hai</t>
  </si>
  <si>
    <t>Pichle varsh ke mukable is saal farmer ka production behtar raha. Control plot me pani ka flow irregular tha, jiski wajah se production utna nahi ho saka.
Deployment plot me same fertilizer treatment diya gaya</t>
  </si>
  <si>
    <t>Pichle varsh farmer ka yield kam tha, lekin is saal me behtar hasil mila. Deployment plot me same fertilizer treatment diya gaya, jis se crop health acche se maintained rahi. Control plot me pani ka flow irregular tha, jiski wajah se production utna nahi ho saka.</t>
  </si>
  <si>
    <t xml:space="preserve">1.Pichale Varsh ki apekcha ish Saal fasal me jada antar nahi hai qki pahle fasal achhi thi parantu fungicide lagne se upaj me kami aai 
2.mati field me pera majboot tha jabki control field ka thoda kamjor or halka raha
</t>
  </si>
  <si>
    <t>Remark - Control plot me production aacha hua hai kyo ki yeha per Fertilizer ka use keya tha or jaha per Deployment huya tha waha per Fertilizer ka use nhi keya tha</t>
  </si>
  <si>
    <t>1.Pichle Saal ki apekcha ish Saal jada antar nahi aaya hai
3.Safed bali fungicide lagne se kuch upaj me kami hui hai
3.kisan ne control field me mati field se alag(Barik)dhan lagaya hai jisse control feild or mati ke sthan me antar hai</t>
  </si>
  <si>
    <t>farmer mati pariyojana se satisfied hai</t>
  </si>
  <si>
    <t>कटाई से पहले मौसम खराब होने से उपज कुछ कम होने की बात किसान ने बताई औसतन फसल अच्छा था</t>
  </si>
  <si>
    <t>kisan ne bola ki deployed plot ke utpadan me control plot ki tulna me upaj adhik hogi Dana bhi vajdar lag rha hai</t>
  </si>
  <si>
    <t xml:space="preserve">Pichle varsh ke mukable is saal farmer ka production behtar raha. Pichle saal 10 Q tha, is saal me vriddhi dekhi gayi.
Deployment plot me same variety lagayi gayi hai, aur is par sahi samay par pani aur poshan mila.
Control plot me paani ki kami ke karan plant growth prabhavit hui, jisse utpaadan me kami rahi.
</t>
  </si>
  <si>
    <t xml:space="preserve">
डिप्लॉयमेंट वाले प्लॉट में किसान ने 135 दिन वाली किस्म लगाई है, जिसका प्रदर्शन इस खेत में पहले से ही अच्छा देखा गया है।
वहीं कंट्रोल प्लॉट में 120 दिन वाली किस्म बोई गई थी।
कंट्रोल वाला खेत थोड़ा ऊँचाई पर होने के कारण वहाँ पानी रुक नहीं पाया।
इस वजह से पौधों को पर्याप्त नमी नहीं मिली और उत्पादन कम रहा।</t>
  </si>
  <si>
    <t xml:space="preserve">
पिछले वर्ष की तुलना में इस वर्ष फसल के उत्पादन में वृद्धि देखी गई है।दोनों प्लॉट में समान उर्वरक और समान मात्रा का उपयोग किया गया है।</t>
  </si>
  <si>
    <t>मिट्टी पूरक का फसल पर इस साल बहुत सकारात्मक प्रभाव देखने को मिला है। फसल में बीमारियों का प्रकोप भी कम रहा है तथा दाने बाज़ानदार और भारी हुए हैं।</t>
  </si>
  <si>
    <t>phasal daane ko gunvatta kafi achha aaya hai.</t>
  </si>
  <si>
    <t>हर साल से इस बार दवा कम डालनी पड़ी, क्योंकि बीमारी कम लगी। हल्की जमीन में जहाँ मिट्टी पूरक डाला गया, वहाँ पैदावार ज्यादा हुई।</t>
  </si>
  <si>
    <t>“मिट्टी पूरक डालने से कोई खास प्रभाव नहीं दिखा। बिना मिट्टी पूरक वाले खेत में फसल ज्यादा अच्छी रही। संभव है कि प्लॉट में पानी अधिक भरा रहने के कारण ऐसा हुआ हो।”</t>
  </si>
  <si>
    <t xml:space="preserve">Is farmer ko pichle saal ki tulna me is saal achha production mila hai. Pichle saal inka production 11 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</si>
  <si>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 xml:space="preserve">Pichle varsh farmer ka yield kam tha, lekin is saal me behtar hasil mila.
</t>
  </si>
  <si>
    <t>kisan ke deployed plot or control plot ki parali me control plot ki parali ka vajan adhik hai or deployed plot ki fasal ka vajan adhik aaya hai 
2. kisan ne ye bataya ki deployed plot me fasal ka Dana aasani se nahi Tut rha hai poudhe se vahi control ka Dana aasani se alag ho ja rha hai</t>
  </si>
  <si>
    <t>माटी पुरक का बहुत अधिक प्रभाव तो स्पष्ट रूप से समझ में नहीं आया, लेकिन इसके उपयोग से मिट्टी में नमी बनी रहती है, जो फसल के लिए बहुत लाभदायक होती है।</t>
  </si>
  <si>
    <t>पिछले वर्षों की तुलना में इस वर्ष दाने ज्यादा भारी पाए गए और बीते साल की अपेक्षा औसत पैदावार में सुधार देखने को मिला।</t>
  </si>
  <si>
    <t xml:space="preserve">1. kisan ko fasal ki upaj me 1se 1:50 kuntal ki badhotri Hui hai 
2.deployed plot ka Dana acha hai control plot ki tulna me 
3. kisan basalt dalne se khush hai 
</t>
  </si>
  <si>
    <t xml:space="preserve">Pichle varsh ke mukable is saal farmer ka production behtar raha. Pichle saal 14 Q tha, is saal me vriddhi dekhi gayi.
Deployment plot me same variety lagayi gayi hai, aur is par sahi samay par pani aur poshan mila.
Control plot me paani ki kami ke karan plant growth prabhavit hui, jisse utpaadan me kami rahi.
</t>
  </si>
  <si>
    <t>Control plot me paani ki kami ke karan plant growth prabhavit hui, jisse utpaadan me kami rahi.</t>
  </si>
  <si>
    <t>Pichle varsh ke mukable is saal farmer ka production behtar raha. Pichle saal 15 Q tha, is saal me vriddhi dekhi gayi.</t>
  </si>
  <si>
    <t>utpadan achha hua h,parantu aakasmik varsha ke karan phasal prabhavit hua h,</t>
  </si>
  <si>
    <t>मिट्टी पूरक डालने के बाद इस साल रासायनिक खाद कम डालनी पड़ी और हर साल की तुलना में इस बार पैदावार काफी अच्छी हुई।</t>
  </si>
  <si>
    <t>किसान ने बताया की फसल ठीक था अगर मौसम खराब नहीं होती तो उपज और मिल सकती थी</t>
  </si>
  <si>
    <t xml:space="preserve">
किसान का फसल अच्छा था फसल की ग्रोथ और बाली काफी अच्छा दिखाई दे रहा था फसल रोग मुक्त था फसल की स्वस्थ वृद्धि ने डिप्लॉयमेंट प्लॉट में बेहतर परिणाम दिए।</t>
  </si>
  <si>
    <t>पिछले वर्ष की तुलना में इस वर्ष उत्पादकता में बदलाव देखा गया है ।
नियंत्रण (Control) और परिनियोजन (Deployment) दोनों प्लॉट में एक जैसी किस्में लगाई गई हैं, इसलिए दोनों प्लॉट आपस में तुलनीय हैं।
दोनों प्लॉट में समान उर्वरक उपचार दिया गया है।फसलों उत्पादन अच्छा हुआ है तथा कीट व्याधि की समस्या बहुत कम है। आकस्मिक वर्षा के कारण फसलों के उत्पादन में कमी देखा गया है</t>
  </si>
  <si>
    <t>फसल का उत्पादन अच्छा हुआ है आकस्मिक वर्षा के कारण थोड़ा प्रभाव पड़ा है।</t>
  </si>
  <si>
    <t>फसल गुणवत्ता काफी अच्छी है, तथा उत्पादन भी अच्छा हुआ है</t>
  </si>
  <si>
    <t>इस साल उपज पहले की तुलना में कम मिलने की बात किसान ने कही क्योंकि फसल कटाई के पहले मौसम खराब होने से बाली में aphid आदि का अटैक हो गया था</t>
  </si>
  <si>
    <t>Jis Khet mein Mati purak dala hai usmein jyada dhan hua Hai aur jismein nahin dala hai unke tulna mein Kisan aage bhi matipurak ka prayog karna chahta hai apne kheton mein</t>
  </si>
  <si>
    <t>धान के फसल इस वर्ष अच्छा था । उत्पादन में और वृद्धि का अनुमान था लेकिन कटाई के समय मौसम की मार की वजह से कुछ हद तक फसलों को नुकसान हुआ है l</t>
  </si>
  <si>
    <t>Deployment plot me same fertilizer treatment diya gaya, jis se crop health acche se maintained rahi.</t>
  </si>
  <si>
    <t>Is farmer ko pichle saal ki tulna me is saal achha production mila hai. Pichle saal inka production 18 Q tha, jabki is saal isme badhoti dekhne ko mili</t>
  </si>
  <si>
    <t>इस वर्ष फसल अच्छी नहीं रहा कटाई के पहले आकस्मिक वर्षा से फसल के उत्पादन में कमी आया है l</t>
  </si>
  <si>
    <t>Deployment me farmer ne 135 din wali variety lagayi hai, jiska performance is field me achha raha.</t>
  </si>
  <si>
    <t xml:space="preserve">
पिछले साल की तुलना में इस साल फसल की पैदावारमें फर्क दिखाई दे रहा है।कंट्रोल और डिप्लॉयमेंटदोनों प्लॉट में एक ही किस्म की फसल उगाई गई है।
</t>
  </si>
  <si>
    <t>माटी पुरक डालने से फसल पर बहुत सकारात्मक प्रभाव देखने को मिले। हर साल की अपेक्षा इस साल उपज में वृद्धि हुई है तथा फसल में बीमारियों का प्रकोप भी बहुत कम देखने को मिला है।</t>
  </si>
  <si>
    <t>Jis Jis Khet mein matipurak lagaya hai usmein achcha dhan hua Hai aur jyada dhan hua Hai control field ke tulna mein Kisan aage bhi matipurak ka prayog karna chahta hai apne kheton mein</t>
  </si>
  <si>
    <t>phasal gunvatta bahut achha hai</t>
  </si>
  <si>
    <t xml:space="preserve">
Pichle varsh farmer ka yield kam tha, lekin is saal me behtar hasil mila.
Deployment plot me same fertilizer treatment diya gaya, jis se crop health acche se maintained rahi.
</t>
  </si>
  <si>
    <t>kisan ka fasal pichle sal ki tulna me tik tha kisan ke fasal me rog adi ka prkop nahi huwa tha achi upaj milne ki bat kisan ne kahi</t>
  </si>
  <si>
    <t>is varsh dhaan ka vajan kafi Achcha hua hai pichhle varshon ki tulna mein kyonki mati dalne ke bad Khet ka Mitti ki gunvatta mein Sudhar bhi hua hai.</t>
  </si>
  <si>
    <t>pichhle sal ki tulna mein is Sal dhaan ke vajan mein badhotari hua hai quality bhi Achcha hai .</t>
  </si>
  <si>
    <t xml:space="preserve">पिछले वर्ष की तुलना में इस वर्ष धान के उत्पादन बहुत अच्छा हुआ है।
पिछले वर्ष उत्पादन बहुत कम रहा है इस बार तुलना किया जाए तो बहुत अच्छा हुआ है।
डेप्लॉयमेंट फील्ड में उर्वरक की मात्रा कम लगा है। क्योंकि फसल बहुत अच्छा नजर आया था।
deployment और control field में लंबे समय variety 135 दिन का लगाया गया था ।
</t>
  </si>
  <si>
    <t xml:space="preserve">पिछले वर्ष की तुलना में इस वर्ष फसल काफी अच्छा हुआ है।
डेप्लॉयमेंट फील्ड तथा कंट्रोलफील्ड दोनों में उर्वरक का छिड़काव same मात्रा में किया गया था। तथा आकस्मिक वर्षा होने के कारण कुछ हिस्से में फसल खराब हो गया था परंतु उसमें उत्पादन काफी अच्छा देखा गया था
</t>
  </si>
  <si>
    <t>Pichle varsh farmer ka yield kam tha, lekin is saal me behtar hasil mila.
Deployment plot me same fertilizer treatment diya gaya, jis se crop health acche se maintained rahi.
Control plot me pani ka flow irregular tha, jiski wajah se production utna nahi ho saka.</t>
  </si>
  <si>
    <t>Control me chhoti avadhi (120 din) ki variety thi, aur field downstream na hone ki wajah se moisture retention kam rahi, jisse yield prabhavit hua.</t>
  </si>
  <si>
    <t>is varsh Kisan ka dhaan bahut Achcha Hai aur dhaan ka colour bhi bahut Sundar hai dhaan ka vajan Main kafi badhotari Hui Hai.</t>
  </si>
  <si>
    <t>किसान का फसल काफी अच्छा है फसल में कीट आदि नहीं लगा है उपज अच्छी मिलने की बात किसान ने कही</t>
  </si>
  <si>
    <t>1.Control feild ki apekcha mati purak wale kheti me dhan achhi hai 
2.Agrowest Gili hone ki wjah se agrowaste ka wjan jyada hai
3.Kisan ko mati purak se fasal utpadan me badhotari hai</t>
  </si>
  <si>
    <t>1. माटी पूरक के उपयोग से किसान बहुत संतुष्ट है।
2. पिछले वर्ष की अपेक्षा इस वर्ष फसल बहुत अच्छी रही है और उत्पादन बढ़ने की उम्मीद है।
3. फसल की निकासी के समय पत्ती मोड़क कीट(leaffolder )रोग का प्रकोप देखा गया था लेकिन समय रहते उसका उपचार कर लिया गया, जिससे उत्पादन पर कोई प्रभाव नहीं पड़ा।</t>
  </si>
  <si>
    <t>1. deyploy field ki dhan ki fasal achhi thi 
2. control field me dhan ki bali safed or dhan ka beej achhe se bhara nhi tha 
3. control field me safed bal ki bimari lagi thi 
4. mati purak dalne se deyploy field me bimari ka prakop kam rha</t>
  </si>
  <si>
    <t>Mati purak jis Khet mein dala hai use Khet ka Dhan ka vajan jyada hua Hai jis Khet mein Mati purak nahin dala hai uske tulna mein aur Kisan aage bhi mati Purak Apne kheton mein dalna chahta Hai</t>
  </si>
  <si>
    <t>jis Khet mein Mati purak dala hai use Khet mein jyada dhan hua Hai jis Khet mein Mati purak nahin dala hai uski tulna mein aur prali bhi Lamba hua Hai</t>
  </si>
  <si>
    <t>Farmer ka kahana hai ki is bar dhaan ke vajan mein kafi difference aaya Hai, dhaan ka quality Es bar bahut best hai.</t>
  </si>
  <si>
    <t xml:space="preserve">Is farmer ko pichle saal ki tulna me is saal achha production mila hai. Pichle saal inka production 15 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</si>
  <si>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 xml:space="preserve">Pichle varsh ke mukable is saal farmer ka production behtar raha. Pichle saal 12 Q tha, is saal me vriddhi dekhi gayi.
Deployment plot me same variety lagayi gayi hai, aur is par sahi samay par pani aur poshan mila.
Control plot me paani ki kami ke karan plant growth prabhavit hui, jisse utpaadan me kami rahi.
</t>
  </si>
  <si>
    <t xml:space="preserve">1. माटी पूरक डालने से मिट्टी में सकारात्मक परिवर्तन देखने को मिले हैं, जैसे कि मिट्टी में नमी अधिक समय तक बनी रहती है।
2. पिछले वर्ष की अपेक्षा इस वर्ष फसलों में बीमारियों का प्रकोप काफी कम रहा है।
</t>
  </si>
  <si>
    <t>mitti ki jivansh kshmta badi hai</t>
  </si>
  <si>
    <t xml:space="preserve">1. पिछले साल की तुलना में इस साल फसल बहुत अच्छी रही है और निश्चित रूप से उत्पादन बढ़ने की उम्मीद है।
2. इस बार फसल में बीमारियाँ बहुत कम लगी हैं। फसल आने के बाद बारिश होने पर भी पौधे सीधे खड़े रहे, जबकि पहले ऐसे समय में फसल गिर जाया करती थी।
</t>
  </si>
  <si>
    <t xml:space="preserve">1. किसान माटी पूरक से बहुत संतुष्ट हैं। पिछले साल की अपेक्षा इस साल उनकी फसल बहुत अच्छी बनी है और निश्चित रूप से उत्पादन बढ़ने की उम्मीद है।
2. माटी पूरक के उपयोग से मिट्टी में कई सकारात्मक परिवर्तन देखने को मिले हैं — जैसे मिट्टी में नमी लंबे समय तक बनी रही। फसल के आने के बाद जब बारिश हुई, तब भी पौधे सीधे खड़े रहे, जिससे पता चलता है कि पौधों में मजबूती (hardness) बनी रही।
</t>
  </si>
  <si>
    <t>Deployment me lambe avadhi (135 din) wali variety lagai gayi, jisse achha tillering aur grain filling hua.</t>
  </si>
  <si>
    <t>Jin kheton mein Mati purak deployment hua Hai usmein achcha dhan hua hai aur jyada Dhan hua Hai aur parali bhi Lamba Mota hua Hai Kisan aage bhi matipura ka prayog karna chahta hai apne kheton mein</t>
  </si>
  <si>
    <t>Jis Jis Khet mein Mati purak lagaye Hain usmein achcha Dhan or jyada dhan hua Hai control fail ke tulna mein aur pranlali bhi Lamba hua Hai</t>
  </si>
  <si>
    <t>Control me 115 din wali variety lagi thi, aur field thoda high-level par hone ki wajah se paani jama nahi ho paaya, isliye production kam aaya.</t>
  </si>
  <si>
    <t>1. Pichale Varsh ki upaj 18 Q hua tha, jiski apecha es varsh 2 Q ki virdhi hui hai
2. Es Varsh Farmer ke deployment field me Control plot ki apecha dhaan achhi hue hai</t>
  </si>
  <si>
    <t>1. Es Varsh en Farmer ke deployment field se, pichele varsh ki apecha kafi jada production hua hai.
2. pichel Varsh 18 Q ki upaj hui thi.
3. enke control field per farmer dwaara sahi Crop Practice na ho pane ki wajas se control field me utpadan kami hui hai.</t>
  </si>
  <si>
    <t xml:space="preserve">1. माटी पूरक के उपयोग से किसान बहुत खुश हैं।
2. पिछले वर्ष की अपेक्षा इस वर्ष फसल की स्थिति बहुत बेहतर है और उत्पादन बढ़ने की पूर्ण संभावना है।
3. पिछले वर्ष की तुलना में इस वर्ष फसलों में बीमारियों का प्रकोप काफी कम देखा गया है।
</t>
  </si>
  <si>
    <t>1.पहले "जय श्री राम" धान की किस्म का उत्पादन 1010 किस्म की तुलना में कम होता था।
इस वर्ष माटी पूरक डालने से "जय श्री राम" किस्म का उत्पादन बढ़ा है और अब यह 1010 किस्म के बराबर हो गया है।
2.माटी पूरक का फसल पर सकारात्मक प्रभाव पड़ा है, जिससे पहले कमजोर मानी जाने वाली किस्म का उत्पादन भी सुधर गया है।</t>
  </si>
  <si>
    <t>Kisan ne bataya ki pichhle sal ki apeksha is sal uski fasal achcha hai lekin aakasmik Varsha ke Karan uski dhaan ki fasal thoda kharab hua Hai</t>
  </si>
  <si>
    <t>फसल उत्पादन अच्छा हुआ है परंतु आकस्मिक वर्षा के कारण थोड़ा बदलाव आ गया जिससे फसल की गुणवत्ता खराब हो गया</t>
  </si>
  <si>
    <t>phasal utpadan kafi achha hua h, parantu aakasmik varsha se prabhavit hua h</t>
  </si>
  <si>
    <t>Es varsh Fasal badiya bani thi or growth bi achi huyi thi</t>
  </si>
  <si>
    <t>Jis Khet mein matipurak lagaya hai usmein achcha dhan hua Hai or jyada Dhan hua Hai jismein Mati purak nahin lagaya hai uske apeksha mein</t>
  </si>
  <si>
    <t>Jis Jis Khet mein Mati diployment kiye Hain usmein achcha dhaan hua Hai aur jyada Dhan hua Hai control field ki tulna mein aur prali bhi Lamba hua Hai</t>
  </si>
  <si>
    <t>Jis Jis kheto mein matipurak dala hai usmein jyada dhan hua Hai jismein nahin dala hai uski tulna mein Kisan Khush Hain aur aage bhi matipurak ka prayog karna chahta hai apne kheton mein</t>
  </si>
  <si>
    <t>1. माटी पूरक का फसल पर अत्यंत अच्छा प्रभाव देखा गया।
2. मिट्टी में लंबे समय तक नमी बनी रही।
3. पिछले वर्ष की अपेक्षा इस वर्ष बीमारियों का प्रकोप कम रहा।</t>
  </si>
  <si>
    <t>yeild achha hua hai lag raha hai</t>
  </si>
  <si>
    <t>Is year dhan ki quality best hai , Dhaan ki waight jayada hai.Mati purak ke chhidkav se ye fayda ho paya.</t>
  </si>
  <si>
    <t>Is bar dhaan ki waight increase huai hai , Control field se dhan bhi jayada hua hai.</t>
  </si>
  <si>
    <t>फसल उत्पादन अच्छा है परंतु अभी आकस्मिक वर्ष के कारण धान नीचे गिर गया, खराब हो गया था जिसके वजह से उत्पादन में कमी आ गया ।</t>
  </si>
  <si>
    <t xml:space="preserve">1. किसान का कहना है कि माटी पूरक के उपयोग से उसकी उपज में वृद्धि हुई है।
2. इस साल हर साल की अपेक्षा बीमारियों में भी कमी आई है।
3. मिट्टी में पहले की अपेक्षा ढीलापन महसूस हुआ है। 
</t>
  </si>
  <si>
    <t>1.Kisan ke kheti me time par chemical fertilizers nahi de paye jisse podhe kamjor rah gaye
2.mati field ki pera sukhi or control field ki pera gila hone ke karan control field me pera ka wjan jyada hai 
3.control field ki apekcha mati purak wale kheti me badhotari aai hai</t>
  </si>
  <si>
    <t>1. Pichale Varsh ki utpadan 12 Q hua tha, es varsh 1.5 Q ki virdhi hui hai.
2. Deployment khet ki dhaan controle se achhi hue hai.
3. Deployment ke agrowaste me anter hai eski wajas hai ki control ki agrowaste gilli wastha me hai aur Deployment ki dry hai.</t>
  </si>
  <si>
    <t>1.kishan ne bataya ki is baar utpadan utna achcha nahi hai
2. es vars dhaan kattai me time me barish hoi thi jske wajas se utpadan me kami dikh rahi hai</t>
  </si>
  <si>
    <t>1.kishan ne DSR kheti kiya hai unhone bataya ki is baar utpadan achcha hai
2. en farmer ke khet me control aur deployed dono me saam utpadan hua hai</t>
  </si>
  <si>
    <t>किसान का कहना है की फसल तो अच्छा था पर कटाई से पहले मौसम खराब होने से कुछ मात्रा में उपज प्रभावित हो सकता है</t>
  </si>
  <si>
    <t>1. माटी पूरक से किसान बहुत खुश हैं, फसल की स्थिति बहुत अच्छी है।
2. पिछले साल की अपेक्षा इस साल उत्पादन बहुत अच्छा होने की संभावना है।
3. इस साल बीमारियों का प्रभाव (प्रकोप) बहुत कम रहा है।</t>
  </si>
  <si>
    <t>phasal gunvatta kafi achha h,</t>
  </si>
  <si>
    <t>phasal gunvatta kafi achha h .</t>
  </si>
  <si>
    <t>achhi fasal hui hai hai kisan santust hai mati purak dalne se</t>
  </si>
  <si>
    <t xml:space="preserve">1. माटी पूरक का फसल पर बहुत अच्छा प्रभाव रहा है।
2. पिछले साल की अपेक्षा इस साल बहुत अच्छा उत्पादन हो सकता है।
3. इस साल बीमारियों का प्रकोप पिछले साल की अपेक्षा कम रहा है। 
</t>
  </si>
  <si>
    <t>mitti ki quality achi bani hai</t>
  </si>
  <si>
    <t xml:space="preserve">Is farmer ko pichle saal ki tulna me is saal achha production mila hai. Pichle saal inka production 13 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</si>
  <si>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Good Farming</t>
  </si>
  <si>
    <t>1. मिट्टी पूरक डालते समय इस बात का ध्यान रखना बहुत ज़रूरी है कि वह कहीं भी एकत्र न हो जाए।
2. इस साल बीमारियों का प्रकोप कम रहा है।
3. पिछले वर्षों की अपेक्षा इस साल फसल बहुत अच्छी रही है।</t>
  </si>
  <si>
    <t xml:space="preserve">1. प्लॉट्स में अत्यधिक पानी भर जाने के कारण फसल के उत्पादन पर नकारात्मक प्रभाव पड़ा है।
2. फसल में बैक्टीरियल लीफ ब्लाइट बीमारी लगने से फसल के वजन में कमी आई है, और किसान ने इसे रोकने के लिए कोई उपचार नहीं किया। 
</t>
  </si>
  <si>
    <t>1. फसल आने के अंतिम चरण में तना-छेदक बीमारी (Stem Borer) का प्रकोप देखा गया, जिसके कारण उत्पादन पर गंभीर प्रभाव पड़ने की संभावना है।
2. अत्यधिक वर्षा के कारण फसल में विभिन्न प्रकार की बीमारियाँ लगीं तथा फसल लंबे समय तक पानी में डूबी रही, जिससे पौधों की वृद्धि रुक गई।
3. माटी पूरक का इस बार विशेष प्रभाव दिखाई नहीं दिया।</t>
  </si>
  <si>
    <t>Remark - Kisan ke khet ka control plot ka paddy crop seed quality jyda better h deployed plot ke comparison me but production deployed plot me jyda hua h 
2. Kisan Mati purak ke results se satisfied h</t>
  </si>
  <si>
    <t>1. kisan ko fasal me anter dikhai diye hai deployed plot ki fasal control plot ki fasal se adhik vajandar hai 
2. control plot ki fasal me kuch Dana Puri tarah se viksit nahi ho paye jisse control plot ki fasal me badra (foll) ki matra deployed plot ki tulna me adhik hai 
3. kisan basalt ke result se khush hai</t>
  </si>
  <si>
    <t>1. पिछले वर्ष की अपेक्षा इस वर्ष फसल बहुत अच्छी बनी है।
2. बीमारियों का प्रभाव कम रहा है, तथा मिट्टी पूरक डालने से मिट्टी में ढीलापन आया है।</t>
  </si>
  <si>
    <t>1. मिट्टी पूरक डालने से इस साल पिछले सालों की तुलना में फसलों में बीमारियाँ कम लगी हैं।
2. उत्पादन भी अच्छा होने की संभावना है।
3. हर साल की तुलना में इस साल रासायनिक खाद का उपयोग कम किया गया है, फिर भी फसल अच्छी दिख रही है।</t>
  </si>
  <si>
    <t>किसान ने बताया कि इस बार उसकी फसल अच्छा है और फसल में कोई रोग आदि नहीं लगा था</t>
  </si>
  <si>
    <t>mati dalne se mai satisfied hoo</t>
  </si>
  <si>
    <t>paddy bahut achhi hai</t>
  </si>
  <si>
    <t>फसल उत्पादन अच्छा हुआ है तथा रोग कीट इस बार नहीं आया है।</t>
  </si>
  <si>
    <t>फसल उत्पादन अच्छा हुआ है। बीमारी ,कीट की समस्या नहीं आया है ।</t>
  </si>
  <si>
    <t>फसल उत्पादन अच्छा हुआ है तथा मिट्टी में बदलाव भी हुआ है</t>
  </si>
  <si>
    <t>फसल उत्पादन अच्छा हुआ है तथा बीमारी की समस्या नहीं देखने को मिला है आकस्मिक वर्ष के कारण थोड़ा उत्पादन में प्रभाव पड़ा है</t>
  </si>
  <si>
    <t>किसान का फसल काफी अच्छा है फसल की उपज भी पिछले साल की अपेक्षा अधिक मिलने की बात किसान ने कही</t>
  </si>
  <si>
    <t>फसल में उत्पादन बहुत अच्छा हुआ है</t>
  </si>
  <si>
    <t xml:space="preserve">Is farmer ko pichle saal ki tulna me is saal achha production mila hai. Pichle saal inka production 14.5Q tha, jabki is saal isme badhoti dekhne ko mili.
Deployment me farmer ne 120 din wali variety lagayi hai, jiska performance is field me achha raha.
Control me 120 din wali variety lagi thi, aur field thoda high-level par hone ki wajah se paani jama nahi ho paaya, isliye production kam aaya.
</t>
  </si>
  <si>
    <t xml:space="preserve">1. मिट्टी पूरक डालने से फसल के दानों में चमक आई है तथा उत्पादन में भी वृद्धि हुई है।
2. फसल में बीमारियाँ बहुत कम लगी हैं।
3. पानी चलाने की आवश्यकता नहीं पड़ी, क्योंकि मिट्टी में नमी लंबे समय तक बनी रही।
</t>
  </si>
  <si>
    <t xml:space="preserve">1. माटी पूरक डालने से पिछले साल की अपेक्षा इस साल बीमारियाँ कम लगी हैं।
2. पिछले साल की तुलना में इस साल अच्छा उत्पादन होने की संभावना है।
3. माटी पूरक से मिट्टी में लंबे समय तक नमी बनी रहती है। 
</t>
  </si>
  <si>
    <t>1. kisan santust hai mati purak dalne se 
2. is bar fasal utpadan me vradhi hui h</t>
  </si>
  <si>
    <t>1. माटी पूरक का अच्छा प्रभाव रहा है।
2. जहाँ माटी पूरक डाला गया था, वहाँ बीमारियों का प्रकोप कम रहा है।
3. पिछले साल की अपेक्षा इस साल उत्पादन बढ़ने की उम्मीद है।</t>
  </si>
  <si>
    <t xml:space="preserve">1.mati purak dalne se kisan santust hai 
2. is bar barish late Tak hone ki vajah se fasal time par nhi kar pai jisse dhan jhura hone ki vajah se plot me hi kafi matra me jhada hai 
</t>
  </si>
  <si>
    <t xml:space="preserve">1. मिट्टी पूरक डालने के बाद मिट्टी में नरमपन आया है तथा पानी चलाने की आवश्यकता नहीं पड़ी है।
2. पिछले वर्ष की अपेक्षा इस वर्ष बीमारियाँ कम लगी हैं।
</t>
  </si>
  <si>
    <t xml:space="preserve">1. हर साल की अपेक्षा इस साल फसल बहुत अच्छी है, उत्पादन बढ़ने की उम्मीद है।
2. बीमारियाँ हर साल की तुलना में कम लगी हैं।
3. माटी पूरक डालने से मिट्टी में अब तक नमी बनी हुई है, जिसके कारण कटाई करने में थोड़ा अधिक समय लग रहा है।
</t>
  </si>
  <si>
    <t>1. किसान भाई ने बताया कि माटी पूरक वाले खेत मे मिट्टी में ढीलापन दिखा और मिट्टी में नमी बनी रही</t>
  </si>
  <si>
    <t>1. kisan ne btaya ki deployed plot ki mitti soft hai control plot ki tulna me 
2. deployed plot ki fasal ka vajan control plot ki fasal se adhik hai 
3. deployed plot ke poudhe me control plot se adhik branches aai thi jisse fasal me bhi me badhotri Hui hai</t>
  </si>
  <si>
    <t>1. Kisan ko pichhle varsh se is varsh achcha utpadan ki ummid hai 
2. Kisan matipurvak ke result se santusht hai 
3. Kisan Ne kaha bhumi ka water level achcha hai bataya Gaya Kisan ke dwaara</t>
  </si>
  <si>
    <t>फसल उत्पादन अच्छा हुआ है तथा पौधों में रोग तथा कीट बहुत कम लगा. था।</t>
  </si>
  <si>
    <t>1. pichhle bar se 2 SE 3 kuntal ki badhotari ki ummid hai Kisan ka kahana hai
2. rasayanik khad ka upyog pahle jaisa dete the vaisa abhi bhi diya Kisan ka kahana hai 
3. kisan ka sujhav matipurak ke liye bahut achcha kyunki mati purak ke result achcha samajh a rahe hain</t>
  </si>
  <si>
    <t>1. Kisan ko pichhle varsh se is bar acchi fasal ki ummid hai 
2. kisan mantipurvak se santusht hai or achha result samajh me aa raha 
3. Kisan ko is varsh se pichhle varsh 2 se 3 kuntal ki badhotari ki ummid hai</t>
  </si>
  <si>
    <t>मृदा पूरक डालने से कोई विशेष सकारात्मक प्रभाव देखने को नहीं मिला। जिन स्थानों पर मृदा पूरक डाला गया था, वहाँ की तुलना में जिन स्थानों पर मृदा पूरक नहीं डाला गया था, वहाँ फसल अधिक अच्छी हुई।</t>
  </si>
  <si>
    <t xml:space="preserve">
control plot upland hone k karan me pani ka ki kami hui plant growth prabhawit hua hai</t>
  </si>
  <si>
    <t>Kisan ko matipurak ke Peddy mein positive effect dikhe jisse Kisan ko ek se do kuntal ka jyada utpadan hoga</t>
  </si>
  <si>
    <t>Achese Agr spread hoga to our ache result milenge</t>
  </si>
  <si>
    <t>1.Mati purak dalne say inhe labh prapat hua hai
2.farmer ke khet me niche hone se barish ka prabhov jada nahi hue jisse utpadan me viridhi hui hai</t>
  </si>
  <si>
    <t>1.Mati result bahut acha btaye hai</t>
  </si>
  <si>
    <t>1. kisan ki deployed plot ki fasal ke vajan me anter aaya hai control plot ki tulna me adhik vajan hai 
2. kisan ke deployed plot ke agroWest or control plot ke agroWest me koi anter nahi hai 
3. kisan ne deployed plot or control plot me barabar Matra me khad ka upyog Kiya hai</t>
  </si>
  <si>
    <t xml:space="preserve">remark
मिट्टी पूरक डालने से इस वर्ष फसल में बहुत कम बीमारियाँ लगीं। पिछले कुछ वर्षों में ऐसी फसल नहीं हुई जैसी इस साल हुई है। मैं मिट्टी पूरक के परिणामों से बहुत संतुष्ट हूँ
</t>
  </si>
  <si>
    <t>फसल बहुत अच्छी थी, किंतु पानी भर जाने के कारण उत्पादन कम हुआ। जहाँ मिट्टी पूरक डाला गया था, वहाँ उत्पादन बहुत अच्छा हुआ।</t>
  </si>
  <si>
    <t>माटी पुरक डालने से पिछले साल की अपेक्षा इस साल फसल का उत्पादन बहुत अच्छा रहा। साथ ही फसल में बीमारियों का प्रकोप भी कम देखने को मिला।</t>
  </si>
  <si>
    <t>Jaha per mati Purak dala gya tha waha ki fasal badiya bani huyi thi or growth bi achi huyi thi jis karan se upaj bi thik huyi hai</t>
  </si>
  <si>
    <t>मिट्टी पूरक के उपयोग से इस साल उत्पादन में वृद्धि हुई है। साथ ही बीमारियाँ भी कम लगी हैं और पिछले कई वर्षों की तुलना में इस वर्ष उत्पादन बहुत अच्छा रहा है।</t>
  </si>
  <si>
    <t>किसान मिट्टी पूरक से बहुत संतुष्ट है। हर साल की अपेक्षा इस वर्ष उत्पादन अधिक रहा है तथा फसल में बीमारियाँ भी कम लगी हैं।</t>
  </si>
  <si>
    <t>.Remark - Kisan ke khet Mein control plot aur diployed plant ki apeksha 3 kuntal ki badhotari Hui Hai deployed plant mein.
2. Kisan Mati purak ke results se santusht hai
3. deployed plot Mein achcha utpadan hoga Kisan ka kahana hai</t>
  </si>
  <si>
    <t>en farmer ke dhan ki utpadan control ki apecha bhut kam hua hai kyuki deployment khet me fertilizer ka chhidko pichele saal ki apecha kam karne se upadan me kami dikhi hai</t>
  </si>
  <si>
    <t>किसान को मृदा पूरक का कोई विशेष प्रभाव समझ में नहीं आया। हर साल की तरह इस साल भी utpadan सामान्य रही है।</t>
  </si>
  <si>
    <t>Remark - Kisan ka dhan ek time pr transplantation hua tha dhan bhi same bna h pr deployed plot me jyda production ho rha h 
2. Kisan Mati purak dalvane ka ikchuk h 
3. Mati purak ke baare me jankari h kisan ko 
4. Abi land wet hone ke karan kisan dhan nhi kaat pa rhe h 
5. Kisan Mati ki report janna chah rhe h ki ph kitna h kitne minerals ki kami h</t>
  </si>
  <si>
    <t>fasal me achhi growth aayi thi parantu barish ke karan fasal kafy damage ho chuki hai</t>
  </si>
  <si>
    <t>Mati Purak se acah result mila hai</t>
  </si>
  <si>
    <t>.Remark - Kisan ke khet ka control plot ka paddy crop seed quality jyda better h deployed plot ke comparison me but production deployed plot me jyda hua h 
2. Kisan Mati purak ke results se satisfied hai 
3.deployed plot se comparison control plot ki kam hai Kisan ne kaha</t>
  </si>
  <si>
    <t>1.mati purak dalne say kuch result nhi dikha hai
2.es varsh harvest time per barshi hone se dhaan per prabhaov pada jisse upaj me kami hui</t>
  </si>
  <si>
    <t>kisan ko pichle sal 9 kuntal peati Acer dhan hua tha 
2. kisan ne control or deployed plot me barik dham lagaya hai</t>
  </si>
  <si>
    <t>Remark - Kisan ne khet me control plot aur deployed plot me same dhan lgai h pr deployed plot me production jyda dekhne ko mil rha h aur paddy ka Agrowaste bhi jyda Mota h aur control plot me same dhan lga pr pr paddy ka Agrowaste width me patla h 
2. Kisan ko 3-4 quintal jyda production hone ka anuman h</t>
  </si>
  <si>
    <t>1.kisan ko Mati pariYojana ka labh mila hai 
2.kisan ko 2 se 3 kuntal ka utpadan hone ummid hai 
3.kisan agle year matipurvak aur dalwana chahta h</t>
  </si>
  <si>
    <t>Kisan ko achcha result samajh aaya pichhle varsh ki apeksha 4-5 kuntal ki badhotari Huyi</t>
  </si>
  <si>
    <t>1_Kisan ke khet mein pichhle varsh ki apeksha 3 kuntal ki badhotari Hui Hai 
2. Kisan ke khet mein b u n c h of seend achcha hai</t>
  </si>
  <si>
    <t>1. माटी पूरक का बहुत अच्छा प्रभाव रहा।
2. पिछले साल की अपेक्षा इस साल कम बीमारियाँ लगीं। बीमारियों के शुरुआती लक्षणों में ही उपचार कर लिया गया, जिससे उत्पादन पर कोई नकारात्मक प्रभाव नहीं पड़ा।
3.संभावित रूप से इस वर्ष उत्पादन बढ़ने की उम्मीद है।</t>
  </si>
  <si>
    <t>fasal is bar bahut achcha tha ,dhaan ka quality aur dhaan ka vajan mein kafi ijaafa hua Hai jisse dhaan pichhle har sal ke mukabale is varsh jyada hua Hai.</t>
  </si>
  <si>
    <t>Jis Khet mein Mati Purak department kiye Hain usmein achcha dhan hua Hai aur jyada Dhan hua Hai aage bhi Kisan mati pura ka prayog karna chahta hai</t>
  </si>
  <si>
    <t>Pakud</t>
  </si>
  <si>
    <t>Total Tonnage</t>
  </si>
  <si>
    <t>Total Acreage</t>
  </si>
  <si>
    <t>site</t>
  </si>
  <si>
    <t>baseline_yield_qac</t>
  </si>
  <si>
    <t>treatment_yield_qac</t>
  </si>
  <si>
    <t>delta_yield_pct</t>
  </si>
  <si>
    <t>farm_size_acres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</si>
</sst>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0.0"/>
    <numFmt numFmtId="166" formatCode="\$#,##0"/>
    <numFmt numFmtId="167" formatCode="#,##0.0"/>
    <numFmt numFmtId="168" formatCode="#,##0.000"/>
    <numFmt numFmtId="169" formatCode="\$#,##0.00"/>
    <numFmt numFmtId="170" formatCode="0;[Red]0"/>
    <numFmt numFmtId="171" formatCode="0.00;[Red]0.00"/>
    <numFmt numFmtId="172" formatCode="0.0;[Red]0.0"/>
    <numFmt numFmtId="173" formatCode="_-* #,##0_-;\-* #,##0_-;_-* &quot;-&quot;??_-;_-@_-"/>
  </numFmts>
  <fonts count="18" x14ac:knownFonts="1">
    <font>
      <sz val="11"/>
      <color theme="1"/>
      <name val="Calibri"/>
      <family val="2"/>
      <charset val="1"/>
    </font>
    <font>
      <sz val="11"/>
      <color theme="1"/>
      <name val="Calibri"/>
      <family val="2"/>
      <scheme val="minor"/>
    </font>
    <font>
      <sz val="10"/>
      <name val="Arial"/>
      <family val="2"/>
    </font>
    <font>
      <b/>
      <sz val="11"/>
      <color rgb="FFFFFFFF"/>
      <name val="Arial"/>
      <family val="2"/>
    </font>
    <font>
      <sz val="10"/>
      <name val="Arial"/>
      <family val="2"/>
    </font>
    <font>
      <sz val="10"/>
      <color rgb="FF0000FF"/>
      <name val="Arial"/>
      <family val="2"/>
    </font>
    <font>
      <i/>
      <sz val="9"/>
      <color rgb="FF666666"/>
      <name val="Arial"/>
      <family val="2"/>
    </font>
    <font>
      <b/>
      <sz val="11"/>
      <name val="Arial"/>
      <family val="2"/>
    </font>
    <font>
      <b/>
      <sz val="12"/>
      <color rgb="FFFFFFFF"/>
      <name val="Arial"/>
      <family val="2"/>
    </font>
    <font>
      <b/>
      <sz val="10"/>
      <color rgb="FFFFFFFF"/>
      <name val="Arial"/>
      <family val="2"/>
    </font>
    <font>
      <b/>
      <sz val="10"/>
      <color rgb="FF3B332B"/>
      <name val="Arial"/>
      <family val="2"/>
    </font>
    <font>
      <sz val="10"/>
      <color rgb="FF008000"/>
      <name val="Arial"/>
      <family val="2"/>
    </font>
    <font>
      <b/>
      <sz val="10"/>
      <name val="Arial"/>
      <family val="2"/>
    </font>
    <font>
      <b/>
      <sz val="11"/>
      <color theme="1"/>
      <name val="Calibri"/>
      <family val="2"/>
      <scheme val="minor"/>
    </font>
    <font>
      <sz val="10"/>
      <color theme="1"/>
      <name val="Arial"/>
      <family val="2"/>
    </font>
    <font>
      <sz val="10"/>
      <color theme="1"/>
      <name val="Arial Unicode MS"/>
      <family val="2"/>
    </font>
    <font>
      <b/>
      <sz val="10"/>
      <color theme="1"/>
      <name val="Arial"/>
      <family val="2"/>
    </font>
    <font>
      <b/>
      <sz val="11"/>
      <name val="Calibri"/>
      <family val="2"/>
    </font>
  </fonts>
  <fills count="9">
    <fill>
      <patternFill patternType="none"/>
    </fill>
    <fill>
      <patternFill patternType="gray125"/>
    </fill>
    <fill>
      <patternFill patternType="solid">
        <fgColor rgb="FF3B332B"/>
        <bgColor rgb="FF333300"/>
      </patternFill>
    </fill>
    <fill>
      <patternFill patternType="solid">
        <fgColor rgb="FFFFF2CC"/>
        <bgColor rgb="FFF5F0EB"/>
      </patternFill>
    </fill>
    <fill>
      <patternFill patternType="solid">
        <fgColor rgb="FF8C7D6A"/>
        <bgColor rgb="FF969696"/>
      </patternFill>
    </fill>
    <fill>
      <patternFill patternType="solid">
        <fgColor rgb="FFEDE6DD"/>
        <bgColor rgb="FFF5F0EB"/>
      </patternFill>
    </fill>
    <fill>
      <patternFill patternType="solid">
        <fgColor rgb="FFF5F0EB"/>
        <bgColor rgb="FFEDE6DD"/>
      </patternFill>
    </fill>
    <fill>
      <patternFill patternType="solid">
        <fgColor theme="9" tint="0.59999389629810485"/>
        <bgColor indexed="64"/>
      </patternFill>
    </fill>
    <fill>
      <patternFill patternType="solid">
        <fgColor rgb="FFE8E8E8"/>
      </patternFill>
    </fill>
  </fills>
  <borders count="8">
    <border>
      <left/>
      <right/>
      <top/>
      <bottom/>
      <diagonal/>
    </border>
    <border>
      <left/>
      <right/>
      <top/>
      <bottom style="thin">
        <color rgb="FFC4B5A3"/>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s>
  <cellStyleXfs count="4">
    <xf numFmtId="0" fontId="0" fillId="0" borderId="0"/>
    <xf numFmtId="0" fontId="1" fillId="0" borderId="0"/>
    <xf numFmtId="9" fontId="1" fillId="0" borderId="0"/>
    <xf numFmtId="43" fontId="1" fillId="0" borderId="0"/>
  </cellStyleXfs>
  <cellXfs count="78">
    <xf numFmtId="0" fontId="0" fillId="0" borderId="0" xfId="0"/>
    <xf numFmtId="0" fontId="4" fillId="0" borderId="1" xfId="0" applyFont="1" applyBorder="1"/>
    <xf numFmtId="0" fontId="5" fillId="3" borderId="1" xfId="0" applyFont="1" applyFill="1" applyBorder="1"/>
    <xf numFmtId="0" fontId="6" fillId="0" borderId="0" xfId="0" applyFont="1"/>
    <xf numFmtId="164" fontId="5" fillId="3" borderId="1" xfId="0" applyNumberFormat="1" applyFont="1" applyFill="1" applyBorder="1"/>
    <xf numFmtId="4" fontId="5" fillId="3" borderId="1" xfId="0" applyNumberFormat="1" applyFont="1" applyFill="1" applyBorder="1"/>
    <xf numFmtId="0" fontId="7" fillId="0" borderId="1" xfId="0" applyFont="1" applyBorder="1"/>
    <xf numFmtId="3" fontId="4" fillId="0" borderId="1" xfId="0" applyNumberFormat="1" applyFont="1" applyBorder="1"/>
    <xf numFmtId="165" fontId="5" fillId="3" borderId="1" xfId="0" applyNumberFormat="1" applyFont="1" applyFill="1" applyBorder="1"/>
    <xf numFmtId="166" fontId="4" fillId="0" borderId="1" xfId="0" applyNumberFormat="1" applyFont="1" applyBorder="1"/>
    <xf numFmtId="0" fontId="9" fillId="4" borderId="0" xfId="0" applyFont="1" applyFill="1"/>
    <xf numFmtId="0" fontId="10" fillId="5" borderId="1" xfId="0" applyFont="1" applyFill="1" applyBorder="1"/>
    <xf numFmtId="0" fontId="0" fillId="5" borderId="0" xfId="0" applyFill="1"/>
    <xf numFmtId="3" fontId="11" fillId="0" borderId="1" xfId="0" applyNumberFormat="1" applyFont="1" applyBorder="1"/>
    <xf numFmtId="167" fontId="11" fillId="0" borderId="1" xfId="0" applyNumberFormat="1" applyFont="1" applyBorder="1"/>
    <xf numFmtId="4" fontId="11" fillId="0" borderId="1" xfId="0" applyNumberFormat="1" applyFont="1" applyBorder="1"/>
    <xf numFmtId="164" fontId="11" fillId="0" borderId="1" xfId="0" applyNumberFormat="1" applyFont="1" applyBorder="1"/>
    <xf numFmtId="4" fontId="0" fillId="0" borderId="1" xfId="0" applyNumberFormat="1" applyBorder="1"/>
    <xf numFmtId="3" fontId="0" fillId="0" borderId="1" xfId="0" applyNumberFormat="1" applyBorder="1"/>
    <xf numFmtId="166" fontId="0" fillId="0" borderId="1" xfId="0" applyNumberFormat="1" applyBorder="1"/>
    <xf numFmtId="168" fontId="0" fillId="0" borderId="1" xfId="0" applyNumberFormat="1" applyBorder="1"/>
    <xf numFmtId="167" fontId="0" fillId="0" borderId="1" xfId="0" applyNumberFormat="1" applyBorder="1"/>
    <xf numFmtId="169" fontId="0" fillId="0" borderId="1" xfId="0" applyNumberFormat="1" applyBorder="1"/>
    <xf numFmtId="0" fontId="12" fillId="0" borderId="1" xfId="0" applyFont="1" applyBorder="1"/>
    <xf numFmtId="3" fontId="12" fillId="6" borderId="1" xfId="0" applyNumberFormat="1" applyFont="1" applyFill="1" applyBorder="1"/>
    <xf numFmtId="166" fontId="12" fillId="6" borderId="1" xfId="0" applyNumberFormat="1" applyFont="1" applyFill="1" applyBorder="1"/>
    <xf numFmtId="166" fontId="11" fillId="0" borderId="1" xfId="0" applyNumberFormat="1" applyFont="1" applyBorder="1"/>
    <xf numFmtId="164" fontId="12" fillId="6" borderId="1" xfId="0" applyNumberFormat="1" applyFont="1" applyFill="1" applyBorder="1"/>
    <xf numFmtId="164" fontId="0" fillId="0" borderId="1" xfId="0" applyNumberFormat="1" applyBorder="1"/>
    <xf numFmtId="0" fontId="1" fillId="0" borderId="0" xfId="1"/>
    <xf numFmtId="9" fontId="0" fillId="0" borderId="0" xfId="2" applyFont="1"/>
    <xf numFmtId="170" fontId="1" fillId="0" borderId="0" xfId="1" applyNumberFormat="1"/>
    <xf numFmtId="0" fontId="14" fillId="0" borderId="2" xfId="1" applyFont="1" applyBorder="1" applyAlignment="1">
      <alignment wrapText="1"/>
    </xf>
    <xf numFmtId="171" fontId="14" fillId="0" borderId="2" xfId="2" applyNumberFormat="1" applyFont="1" applyBorder="1" applyAlignment="1">
      <alignment horizontal="right" wrapText="1"/>
    </xf>
    <xf numFmtId="9" fontId="14" fillId="0" borderId="2" xfId="2" applyFont="1" applyBorder="1" applyAlignment="1">
      <alignment horizontal="right" wrapText="1"/>
    </xf>
    <xf numFmtId="172" fontId="14" fillId="0" borderId="2" xfId="2" applyNumberFormat="1" applyFont="1" applyBorder="1" applyAlignment="1">
      <alignment horizontal="right" wrapText="1"/>
    </xf>
    <xf numFmtId="0" fontId="14" fillId="0" borderId="2" xfId="1" applyFont="1" applyBorder="1" applyAlignment="1">
      <alignment horizontal="right" wrapText="1"/>
    </xf>
    <xf numFmtId="2" fontId="14" fillId="0" borderId="2" xfId="1" applyNumberFormat="1" applyFont="1" applyBorder="1" applyAlignment="1">
      <alignment horizontal="right" wrapText="1"/>
    </xf>
    <xf numFmtId="170" fontId="14" fillId="0" borderId="2" xfId="1" applyNumberFormat="1" applyFont="1" applyBorder="1" applyAlignment="1">
      <alignment horizontal="right" wrapText="1"/>
    </xf>
    <xf numFmtId="165" fontId="15" fillId="0" borderId="0" xfId="1" applyNumberFormat="1" applyFont="1" applyAlignment="1">
      <alignment vertical="center" wrapText="1"/>
    </xf>
    <xf numFmtId="0" fontId="1" fillId="0" borderId="0" xfId="1" applyAlignment="1">
      <alignment vertical="center" wrapText="1"/>
    </xf>
    <xf numFmtId="0" fontId="13" fillId="0" borderId="0" xfId="1" applyFont="1" applyAlignment="1">
      <alignment vertical="center" wrapText="1"/>
    </xf>
    <xf numFmtId="9" fontId="15" fillId="0" borderId="0" xfId="2" applyFont="1" applyAlignment="1">
      <alignment vertical="center" wrapText="1"/>
    </xf>
    <xf numFmtId="164" fontId="15" fillId="0" borderId="0" xfId="2" applyNumberFormat="1" applyFont="1" applyAlignment="1">
      <alignment vertical="center" wrapText="1"/>
    </xf>
    <xf numFmtId="9" fontId="15" fillId="7" borderId="0" xfId="2" applyFont="1" applyFill="1" applyAlignment="1">
      <alignment vertical="center" wrapText="1"/>
    </xf>
    <xf numFmtId="2" fontId="15" fillId="7" borderId="0" xfId="1" applyNumberFormat="1" applyFont="1" applyFill="1" applyAlignment="1">
      <alignment vertical="center" wrapText="1"/>
    </xf>
    <xf numFmtId="165" fontId="15" fillId="7" borderId="0" xfId="1" applyNumberFormat="1" applyFont="1" applyFill="1" applyAlignment="1">
      <alignment vertical="center" wrapText="1"/>
    </xf>
    <xf numFmtId="0" fontId="15" fillId="0" borderId="0" xfId="1" applyFont="1" applyAlignment="1">
      <alignment vertical="center" wrapText="1"/>
    </xf>
    <xf numFmtId="0" fontId="13" fillId="0" borderId="0" xfId="1" applyFont="1" applyAlignment="1">
      <alignment horizontal="left" vertical="center"/>
    </xf>
    <xf numFmtId="0" fontId="16" fillId="0" borderId="2" xfId="1" applyFont="1" applyBorder="1" applyAlignment="1">
      <alignment wrapText="1"/>
    </xf>
    <xf numFmtId="0" fontId="16" fillId="0" borderId="2" xfId="1" applyFont="1" applyBorder="1" applyAlignment="1">
      <alignment horizontal="left" vertical="center"/>
    </xf>
    <xf numFmtId="9" fontId="16" fillId="7" borderId="2" xfId="2" applyFont="1" applyFill="1" applyBorder="1" applyAlignment="1">
      <alignment wrapText="1"/>
    </xf>
    <xf numFmtId="0" fontId="16" fillId="7" borderId="2" xfId="1" applyFont="1" applyFill="1" applyBorder="1" applyAlignment="1">
      <alignment wrapText="1"/>
    </xf>
    <xf numFmtId="170" fontId="16" fillId="0" borderId="2" xfId="1" applyNumberFormat="1" applyFont="1" applyBorder="1" applyAlignment="1">
      <alignment wrapText="1"/>
    </xf>
    <xf numFmtId="0" fontId="1" fillId="0" borderId="0" xfId="1" applyAlignment="1">
      <alignment wrapText="1"/>
    </xf>
    <xf numFmtId="0" fontId="13" fillId="0" borderId="0" xfId="1" applyFont="1"/>
    <xf numFmtId="0" fontId="13" fillId="0" borderId="3" xfId="1" applyFont="1" applyBorder="1"/>
    <xf numFmtId="0" fontId="13" fillId="0" borderId="4" xfId="1" applyFont="1" applyBorder="1"/>
    <xf numFmtId="0" fontId="1" fillId="0" borderId="5" xfId="1" applyBorder="1"/>
    <xf numFmtId="0" fontId="1" fillId="0" borderId="6" xfId="1" applyBorder="1"/>
    <xf numFmtId="2" fontId="1" fillId="0" borderId="0" xfId="1" applyNumberFormat="1"/>
    <xf numFmtId="165" fontId="1" fillId="0" borderId="0" xfId="1" applyNumberFormat="1"/>
    <xf numFmtId="173" fontId="0" fillId="0" borderId="0" xfId="3" applyNumberFormat="1" applyFont="1"/>
    <xf numFmtId="0" fontId="12" fillId="0" borderId="7" xfId="0" applyFont="1" applyBorder="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165" fontId="2" fillId="0" borderId="0" xfId="0" applyNumberFormat="1" applyFont="1" applyAlignment="1">
      <alignment horizontal="center"/>
    </xf>
    <xf numFmtId="3" fontId="2" fillId="0" borderId="0" xfId="0" applyNumberFormat="1" applyFont="1" applyAlignment="1">
      <alignment horizontal="center"/>
    </xf>
    <xf numFmtId="1" fontId="12" fillId="0" borderId="7" xfId="0" applyNumberFormat="1" applyFont="1" applyBorder="1" applyAlignment="1">
      <alignment horizontal="center"/>
    </xf>
    <xf numFmtId="165" fontId="12" fillId="0" borderId="7" xfId="0" applyNumberFormat="1" applyFont="1" applyBorder="1" applyAlignment="1">
      <alignment horizontal="center"/>
    </xf>
    <xf numFmtId="3" fontId="12" fillId="0" borderId="7" xfId="0" applyNumberFormat="1" applyFont="1" applyBorder="1" applyAlignment="1">
      <alignment horizontal="center"/>
    </xf>
    <xf numFmtId="0" fontId="17" fillId="0" borderId="0" xfId="0" applyFont="1"/>
    <xf numFmtId="0" fontId="17" fillId="8" borderId="0" xfId="0" applyFont="1" applyFill="1" applyAlignment="1">
      <alignment horizontal="left"/>
    </xf>
    <xf numFmtId="0" fontId="0" fillId="0" borderId="0" xfId="0" applyAlignment="1">
      <alignment horizontal="left" vertical="top" wrapText="1"/>
    </xf>
    <xf numFmtId="0" fontId="3" fillId="2" borderId="0" xfId="0" applyFont="1" applyFill="1"/>
    <xf numFmtId="0" fontId="0" fillId="0" borderId="0" xfId="0"/>
    <xf numFmtId="0" fontId="8" fillId="2" borderId="0" xfId="0" applyFont="1" applyFill="1"/>
    <xf numFmtId="0" fontId="10" fillId="5" borderId="0" xfId="0" applyFont="1" applyFill="1"/>
  </cellXfs>
  <cellStyles count="4">
    <cellStyle name="Comma 2" xfId="3" xr:uid="{00000000-0005-0000-0000-000003000000}"/>
    <cellStyle name="Normal" xfId="0" builtinId="0"/>
    <cellStyle name="Normal 2" xfId="1" xr:uid="{00000000-0005-0000-0000-000001000000}"/>
    <cellStyle name="Percent 2" xfId="2" xr:uid="{00000000-0005-0000-0000-000002000000}"/>
  </cellStyles>
  <dxfs count="9">
    <dxf>
      <numFmt numFmtId="2" formatCode="0.00"/>
    </dxf>
    <dxf>
      <numFmt numFmtId="165" formatCode="0.0"/>
    </dxf>
    <dxf>
      <font>
        <b/>
        <strike val="0"/>
        <condense val="0"/>
        <extend val="0"/>
        <outline val="0"/>
        <shadow val="0"/>
        <vertAlign val="baseline"/>
        <sz val="11"/>
        <color theme="1"/>
        <name val="Calibri"/>
        <scheme val="minor"/>
      </font>
    </dxf>
    <dxf>
      <alignment horizontal="general" vertical="bottom" wrapText="1"/>
    </dxf>
    <dxf>
      <font>
        <strike val="0"/>
        <condense val="0"/>
        <extend val="0"/>
        <outline val="0"/>
        <shadow val="0"/>
        <vertAlign val="baseline"/>
        <sz val="10"/>
        <color theme="1"/>
        <name val="Arial Unicode MS"/>
      </font>
      <numFmt numFmtId="0" formatCode="General"/>
      <alignment horizontal="general" vertical="center" wrapText="1"/>
    </dxf>
    <dxf>
      <alignment horizontal="general" vertical="center" wrapText="1"/>
    </dxf>
    <dxf>
      <font>
        <b/>
      </font>
      <alignment horizontal="general" vertical="center" wrapText="1"/>
    </dxf>
    <dxf>
      <alignment horizontal="general" vertical="center" wrapText="1"/>
    </dxf>
    <dxf>
      <font>
        <b/>
        <strike val="0"/>
        <condense val="0"/>
        <extend val="0"/>
        <outline val="0"/>
        <shadow val="0"/>
        <vertAlign val="baseline"/>
        <sz val="11"/>
        <color theme="1"/>
        <name val="Calibri"/>
        <scheme val="minor"/>
      </font>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5A3"/>
      <rgbColor rgb="FF8C7D6A"/>
      <rgbColor rgb="FF9999FF"/>
      <rgbColor rgb="FF993366"/>
      <rgbColor rgb="FFFFF2CC"/>
      <rgbColor rgb="FFF5F0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DE6DD"/>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B33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arif tonnage acres2025"/>
      <sheetName val="GPM Kharif 2025"/>
      <sheetName val="Seoni Kharif 2025"/>
      <sheetName val="Nainpur Kharif 2025"/>
      <sheetName val="Pakud Kharif 2025"/>
      <sheetName val="Shedol Kharif 2025"/>
      <sheetName val="Base wise Kharif 2025"/>
      <sheetName val="Rabi 2025"/>
    </sheetNames>
    <sheetDataSet>
      <sheetData sheetId="0">
        <row r="1">
          <cell r="A1" t="str">
            <v>Farmer id</v>
          </cell>
          <cell r="B1" t="str">
            <v>Acres</v>
          </cell>
          <cell r="C1" t="str">
            <v>Tonnnage</v>
          </cell>
        </row>
        <row r="2">
          <cell r="A2">
            <v>1727778153090</v>
          </cell>
          <cell r="B2">
            <v>10.52</v>
          </cell>
          <cell r="C2">
            <v>115</v>
          </cell>
        </row>
        <row r="3">
          <cell r="A3">
            <v>1752040624520</v>
          </cell>
          <cell r="B3">
            <v>2.41</v>
          </cell>
          <cell r="C3">
            <v>31</v>
          </cell>
        </row>
        <row r="4">
          <cell r="A4">
            <v>1724141271878</v>
          </cell>
          <cell r="B4">
            <v>8.4700000000000006</v>
          </cell>
          <cell r="C4">
            <v>85</v>
          </cell>
        </row>
        <row r="5">
          <cell r="A5">
            <v>1726729433611</v>
          </cell>
          <cell r="B5">
            <v>2.77</v>
          </cell>
          <cell r="C5">
            <v>30</v>
          </cell>
        </row>
        <row r="6">
          <cell r="A6">
            <v>1725950393356</v>
          </cell>
          <cell r="B6">
            <v>0.33</v>
          </cell>
          <cell r="C6">
            <v>10</v>
          </cell>
        </row>
        <row r="7">
          <cell r="A7">
            <v>1727771954306</v>
          </cell>
          <cell r="B7">
            <v>3.29</v>
          </cell>
          <cell r="C7">
            <v>35</v>
          </cell>
        </row>
        <row r="8">
          <cell r="A8">
            <v>1727237352527</v>
          </cell>
          <cell r="B8">
            <v>5.18</v>
          </cell>
          <cell r="C8">
            <v>55</v>
          </cell>
        </row>
        <row r="9">
          <cell r="A9">
            <v>1726649146327</v>
          </cell>
          <cell r="B9">
            <v>9.08</v>
          </cell>
          <cell r="C9">
            <v>100</v>
          </cell>
        </row>
        <row r="10">
          <cell r="A10">
            <v>1728023627492</v>
          </cell>
          <cell r="B10">
            <v>16.09</v>
          </cell>
          <cell r="C10">
            <v>180</v>
          </cell>
        </row>
        <row r="11">
          <cell r="A11">
            <v>1724216334890</v>
          </cell>
          <cell r="B11">
            <v>5.65</v>
          </cell>
          <cell r="C11">
            <v>55</v>
          </cell>
        </row>
        <row r="12">
          <cell r="A12">
            <v>1725515946652</v>
          </cell>
          <cell r="B12">
            <v>2.98</v>
          </cell>
          <cell r="C12">
            <v>85</v>
          </cell>
        </row>
        <row r="13">
          <cell r="A13">
            <v>1726551773281</v>
          </cell>
          <cell r="B13">
            <v>14.13</v>
          </cell>
          <cell r="C13">
            <v>155</v>
          </cell>
        </row>
        <row r="14">
          <cell r="A14">
            <v>1727509064996</v>
          </cell>
          <cell r="B14">
            <v>3.95</v>
          </cell>
          <cell r="C14">
            <v>40</v>
          </cell>
        </row>
        <row r="15">
          <cell r="A15">
            <v>1747200300435</v>
          </cell>
          <cell r="B15">
            <v>41.45</v>
          </cell>
          <cell r="C15">
            <v>435</v>
          </cell>
        </row>
        <row r="16">
          <cell r="A16">
            <v>1727758959648</v>
          </cell>
          <cell r="B16">
            <v>12.03</v>
          </cell>
          <cell r="C16">
            <v>105</v>
          </cell>
        </row>
        <row r="17">
          <cell r="A17">
            <v>1730526661966</v>
          </cell>
          <cell r="B17">
            <v>14.32</v>
          </cell>
          <cell r="C17">
            <v>145</v>
          </cell>
        </row>
        <row r="18">
          <cell r="A18">
            <v>1744721814414</v>
          </cell>
          <cell r="B18">
            <v>19.52</v>
          </cell>
          <cell r="C18">
            <v>210</v>
          </cell>
        </row>
        <row r="19">
          <cell r="A19">
            <v>2446</v>
          </cell>
          <cell r="B19">
            <v>5.08</v>
          </cell>
          <cell r="C19">
            <v>50</v>
          </cell>
        </row>
        <row r="20">
          <cell r="A20">
            <v>2442</v>
          </cell>
          <cell r="B20">
            <v>2.3199999999999998</v>
          </cell>
          <cell r="C20">
            <v>25</v>
          </cell>
        </row>
        <row r="21">
          <cell r="A21">
            <v>1117</v>
          </cell>
          <cell r="B21">
            <v>14.13</v>
          </cell>
          <cell r="C21">
            <v>155</v>
          </cell>
        </row>
        <row r="22">
          <cell r="A22">
            <v>1728624360311</v>
          </cell>
          <cell r="B22">
            <v>2.8</v>
          </cell>
          <cell r="C22">
            <v>30</v>
          </cell>
        </row>
        <row r="23">
          <cell r="A23">
            <v>1747997049360</v>
          </cell>
          <cell r="B23">
            <v>6.06</v>
          </cell>
          <cell r="C23">
            <v>60</v>
          </cell>
        </row>
        <row r="24">
          <cell r="A24">
            <v>1180</v>
          </cell>
          <cell r="B24">
            <v>15.24</v>
          </cell>
          <cell r="C24">
            <v>170</v>
          </cell>
        </row>
        <row r="25">
          <cell r="A25">
            <v>1187</v>
          </cell>
          <cell r="B25">
            <v>10.65</v>
          </cell>
          <cell r="C25">
            <v>115</v>
          </cell>
        </row>
        <row r="26">
          <cell r="A26">
            <v>2321</v>
          </cell>
          <cell r="B26">
            <v>14.09</v>
          </cell>
          <cell r="C26">
            <v>150</v>
          </cell>
        </row>
        <row r="27">
          <cell r="A27">
            <v>1724394545080</v>
          </cell>
          <cell r="B27">
            <v>16.61</v>
          </cell>
          <cell r="C27">
            <v>150</v>
          </cell>
        </row>
        <row r="28">
          <cell r="A28">
            <v>1728889812478</v>
          </cell>
          <cell r="B28">
            <v>2.67</v>
          </cell>
          <cell r="C28">
            <v>30</v>
          </cell>
        </row>
        <row r="29">
          <cell r="A29">
            <v>1726041387616</v>
          </cell>
          <cell r="B29">
            <v>9.09</v>
          </cell>
          <cell r="C29">
            <v>100</v>
          </cell>
        </row>
        <row r="30">
          <cell r="A30">
            <v>1726129378700</v>
          </cell>
          <cell r="B30">
            <v>5.99</v>
          </cell>
          <cell r="C30">
            <v>60</v>
          </cell>
        </row>
        <row r="31">
          <cell r="A31">
            <v>1737528275983</v>
          </cell>
          <cell r="B31">
            <v>19.59</v>
          </cell>
          <cell r="C31">
            <v>185</v>
          </cell>
        </row>
        <row r="32">
          <cell r="A32">
            <v>1727151811431</v>
          </cell>
          <cell r="B32">
            <v>11.73</v>
          </cell>
          <cell r="C32">
            <v>125</v>
          </cell>
        </row>
        <row r="33">
          <cell r="A33">
            <v>1723535060848</v>
          </cell>
          <cell r="B33">
            <v>13.98</v>
          </cell>
          <cell r="C33">
            <v>135</v>
          </cell>
        </row>
        <row r="34">
          <cell r="A34">
            <v>1725603538470</v>
          </cell>
          <cell r="B34">
            <v>4.93</v>
          </cell>
          <cell r="C34">
            <v>60</v>
          </cell>
        </row>
        <row r="35">
          <cell r="A35">
            <v>1728891152847</v>
          </cell>
          <cell r="B35">
            <v>1.61</v>
          </cell>
          <cell r="C35">
            <v>15</v>
          </cell>
        </row>
        <row r="36">
          <cell r="A36">
            <v>1728460477564</v>
          </cell>
          <cell r="B36">
            <v>10.62</v>
          </cell>
          <cell r="C36">
            <v>110</v>
          </cell>
        </row>
        <row r="37">
          <cell r="A37">
            <v>1744259683346</v>
          </cell>
          <cell r="B37">
            <v>7.47</v>
          </cell>
          <cell r="C37">
            <v>80</v>
          </cell>
        </row>
        <row r="38">
          <cell r="A38">
            <v>1728467772132</v>
          </cell>
          <cell r="B38">
            <v>5.33</v>
          </cell>
          <cell r="C38">
            <v>60</v>
          </cell>
        </row>
        <row r="39">
          <cell r="A39">
            <v>1728279398348</v>
          </cell>
          <cell r="B39">
            <v>11.82</v>
          </cell>
          <cell r="C39">
            <v>125</v>
          </cell>
        </row>
        <row r="40">
          <cell r="A40">
            <v>1744258377975</v>
          </cell>
          <cell r="B40">
            <v>7.26</v>
          </cell>
          <cell r="C40">
            <v>75</v>
          </cell>
        </row>
        <row r="41">
          <cell r="A41">
            <v>1726033091822</v>
          </cell>
          <cell r="B41">
            <v>0.88</v>
          </cell>
          <cell r="C41">
            <v>10</v>
          </cell>
        </row>
        <row r="42">
          <cell r="A42">
            <v>1743844344980</v>
          </cell>
          <cell r="B42">
            <v>9.8000000000000007</v>
          </cell>
          <cell r="C42">
            <v>100</v>
          </cell>
        </row>
        <row r="43">
          <cell r="A43">
            <v>1728536036281</v>
          </cell>
          <cell r="B43">
            <v>3.17</v>
          </cell>
          <cell r="C43">
            <v>35</v>
          </cell>
        </row>
        <row r="44">
          <cell r="A44">
            <v>1726044373787</v>
          </cell>
          <cell r="B44">
            <v>11.95</v>
          </cell>
          <cell r="C44">
            <v>120</v>
          </cell>
        </row>
        <row r="45">
          <cell r="A45">
            <v>1727237591092</v>
          </cell>
          <cell r="B45">
            <v>3.74</v>
          </cell>
          <cell r="C45">
            <v>90</v>
          </cell>
        </row>
        <row r="46">
          <cell r="A46">
            <v>1726043806658</v>
          </cell>
          <cell r="B46">
            <v>4.53</v>
          </cell>
          <cell r="C46">
            <v>25</v>
          </cell>
        </row>
        <row r="47">
          <cell r="A47">
            <v>1727236838556</v>
          </cell>
          <cell r="B47">
            <v>1.39</v>
          </cell>
          <cell r="C47">
            <v>70</v>
          </cell>
        </row>
        <row r="48">
          <cell r="A48">
            <v>1730522251332</v>
          </cell>
          <cell r="B48">
            <v>5.18</v>
          </cell>
          <cell r="C48">
            <v>90</v>
          </cell>
        </row>
        <row r="49">
          <cell r="A49">
            <v>1723622536854</v>
          </cell>
          <cell r="B49">
            <v>18.57</v>
          </cell>
          <cell r="C49">
            <v>190</v>
          </cell>
        </row>
        <row r="50">
          <cell r="A50">
            <v>1727518386307</v>
          </cell>
          <cell r="B50">
            <v>20.57</v>
          </cell>
          <cell r="C50">
            <v>210</v>
          </cell>
        </row>
        <row r="51">
          <cell r="A51">
            <v>1724478839674</v>
          </cell>
          <cell r="B51">
            <v>3.24</v>
          </cell>
          <cell r="C51">
            <v>40</v>
          </cell>
        </row>
        <row r="52">
          <cell r="A52">
            <v>1725428481815</v>
          </cell>
          <cell r="B52">
            <v>19.68</v>
          </cell>
          <cell r="C52">
            <v>180</v>
          </cell>
        </row>
        <row r="53">
          <cell r="A53">
            <v>1729140634986</v>
          </cell>
          <cell r="B53">
            <v>21.67</v>
          </cell>
          <cell r="C53">
            <v>200</v>
          </cell>
        </row>
        <row r="54">
          <cell r="A54">
            <v>1724214083170</v>
          </cell>
          <cell r="B54">
            <v>10.119999999999999</v>
          </cell>
          <cell r="C54">
            <v>105</v>
          </cell>
        </row>
        <row r="55">
          <cell r="A55">
            <v>1725858718937</v>
          </cell>
          <cell r="B55">
            <v>4.03</v>
          </cell>
          <cell r="C55">
            <v>40</v>
          </cell>
        </row>
        <row r="56">
          <cell r="A56">
            <v>1736148507326</v>
          </cell>
          <cell r="B56">
            <v>9.4</v>
          </cell>
          <cell r="C56">
            <v>90</v>
          </cell>
        </row>
        <row r="57">
          <cell r="A57">
            <v>1727678241070</v>
          </cell>
          <cell r="B57">
            <v>1.1399999999999999</v>
          </cell>
          <cell r="C57">
            <v>25</v>
          </cell>
        </row>
        <row r="58">
          <cell r="A58">
            <v>2126</v>
          </cell>
          <cell r="B58">
            <v>24.99</v>
          </cell>
          <cell r="C58">
            <v>260</v>
          </cell>
        </row>
        <row r="59">
          <cell r="A59">
            <v>1725600601253</v>
          </cell>
          <cell r="B59">
            <v>19.75</v>
          </cell>
          <cell r="C59">
            <v>200</v>
          </cell>
        </row>
        <row r="60">
          <cell r="A60">
            <v>1726548077272</v>
          </cell>
          <cell r="B60">
            <v>19.52</v>
          </cell>
          <cell r="C60">
            <v>195</v>
          </cell>
        </row>
        <row r="61">
          <cell r="A61">
            <v>1727777508975</v>
          </cell>
          <cell r="B61">
            <v>3.74</v>
          </cell>
          <cell r="C61">
            <v>40</v>
          </cell>
        </row>
        <row r="62">
          <cell r="A62">
            <v>1727780530921</v>
          </cell>
          <cell r="B62">
            <v>4.2300000000000004</v>
          </cell>
          <cell r="C62">
            <v>40</v>
          </cell>
        </row>
        <row r="63">
          <cell r="A63">
            <v>1729662616598</v>
          </cell>
          <cell r="B63">
            <v>11.9</v>
          </cell>
          <cell r="C63">
            <v>120</v>
          </cell>
        </row>
        <row r="64">
          <cell r="A64">
            <v>1744181660910</v>
          </cell>
          <cell r="B64">
            <v>7.42</v>
          </cell>
          <cell r="C64">
            <v>80</v>
          </cell>
        </row>
        <row r="65">
          <cell r="A65">
            <v>1745664380041</v>
          </cell>
          <cell r="B65">
            <v>14.17</v>
          </cell>
          <cell r="C65">
            <v>140</v>
          </cell>
        </row>
        <row r="66">
          <cell r="A66">
            <v>1747136881057</v>
          </cell>
          <cell r="B66">
            <v>13.42</v>
          </cell>
          <cell r="C66">
            <v>140</v>
          </cell>
        </row>
        <row r="67">
          <cell r="A67">
            <v>1726635827837</v>
          </cell>
          <cell r="B67">
            <v>16.399999999999999</v>
          </cell>
          <cell r="C67">
            <v>180</v>
          </cell>
        </row>
        <row r="68">
          <cell r="A68">
            <v>1729494022068</v>
          </cell>
          <cell r="B68">
            <v>20.59</v>
          </cell>
          <cell r="C68">
            <v>220</v>
          </cell>
        </row>
        <row r="69">
          <cell r="A69">
            <v>1727782962456</v>
          </cell>
          <cell r="B69">
            <v>14.05</v>
          </cell>
          <cell r="C69">
            <v>150</v>
          </cell>
        </row>
        <row r="70">
          <cell r="A70">
            <v>1745833756542</v>
          </cell>
          <cell r="B70">
            <v>6.11</v>
          </cell>
          <cell r="C70">
            <v>65</v>
          </cell>
        </row>
        <row r="71">
          <cell r="A71">
            <v>1717244049669</v>
          </cell>
          <cell r="B71">
            <v>20.98</v>
          </cell>
          <cell r="C71">
            <v>210</v>
          </cell>
        </row>
        <row r="72">
          <cell r="A72">
            <v>1729677588013</v>
          </cell>
          <cell r="B72">
            <v>25.04</v>
          </cell>
          <cell r="C72">
            <v>265</v>
          </cell>
        </row>
        <row r="73">
          <cell r="A73">
            <v>1726722806835</v>
          </cell>
          <cell r="B73">
            <v>7.39</v>
          </cell>
          <cell r="C73">
            <v>80</v>
          </cell>
        </row>
        <row r="74">
          <cell r="A74">
            <v>1730182354607</v>
          </cell>
          <cell r="B74">
            <v>8.1</v>
          </cell>
          <cell r="C74">
            <v>85</v>
          </cell>
        </row>
        <row r="75">
          <cell r="A75">
            <v>1725951396481</v>
          </cell>
          <cell r="B75">
            <v>20.68</v>
          </cell>
          <cell r="C75">
            <v>245</v>
          </cell>
        </row>
        <row r="76">
          <cell r="A76">
            <v>1727757886831</v>
          </cell>
          <cell r="B76">
            <v>15.88</v>
          </cell>
          <cell r="C76">
            <v>155</v>
          </cell>
        </row>
        <row r="77">
          <cell r="A77">
            <v>771</v>
          </cell>
          <cell r="B77">
            <v>21.67</v>
          </cell>
          <cell r="C77">
            <v>215</v>
          </cell>
        </row>
        <row r="78">
          <cell r="A78">
            <v>1737527159155</v>
          </cell>
          <cell r="B78">
            <v>12.25</v>
          </cell>
          <cell r="C78">
            <v>110</v>
          </cell>
        </row>
        <row r="79">
          <cell r="A79">
            <v>1188</v>
          </cell>
          <cell r="B79">
            <v>13.151999999999999</v>
          </cell>
          <cell r="C79">
            <v>115</v>
          </cell>
        </row>
        <row r="80">
          <cell r="A80">
            <v>2625</v>
          </cell>
          <cell r="B80">
            <v>18.920000000000002</v>
          </cell>
          <cell r="C80">
            <v>190</v>
          </cell>
        </row>
        <row r="81">
          <cell r="A81">
            <v>1723532179992</v>
          </cell>
          <cell r="B81">
            <v>19.64</v>
          </cell>
          <cell r="C81">
            <v>200</v>
          </cell>
        </row>
        <row r="82">
          <cell r="A82">
            <v>1724483848727</v>
          </cell>
          <cell r="B82">
            <v>1.98</v>
          </cell>
          <cell r="C82">
            <v>30</v>
          </cell>
        </row>
        <row r="83">
          <cell r="A83">
            <v>1724317570377</v>
          </cell>
          <cell r="B83">
            <v>7.49</v>
          </cell>
          <cell r="C83">
            <v>75</v>
          </cell>
        </row>
        <row r="84">
          <cell r="A84">
            <v>1727925261856</v>
          </cell>
          <cell r="B84">
            <v>17.3</v>
          </cell>
          <cell r="C84">
            <v>180</v>
          </cell>
        </row>
        <row r="85">
          <cell r="A85">
            <v>1745645689631</v>
          </cell>
          <cell r="B85">
            <v>2.35</v>
          </cell>
          <cell r="C85">
            <v>25</v>
          </cell>
        </row>
        <row r="86">
          <cell r="A86">
            <v>1725531462671</v>
          </cell>
          <cell r="B86">
            <v>22.53</v>
          </cell>
          <cell r="C86">
            <v>210</v>
          </cell>
        </row>
        <row r="87">
          <cell r="A87">
            <v>1737436153225</v>
          </cell>
          <cell r="B87">
            <v>3.32</v>
          </cell>
          <cell r="C87">
            <v>30</v>
          </cell>
        </row>
        <row r="88">
          <cell r="A88">
            <v>1725343010026</v>
          </cell>
          <cell r="B88">
            <v>5.0199999999999996</v>
          </cell>
          <cell r="C88">
            <v>45</v>
          </cell>
        </row>
        <row r="89">
          <cell r="A89">
            <v>1727419104712</v>
          </cell>
          <cell r="B89">
            <v>13.07</v>
          </cell>
          <cell r="C89">
            <v>150</v>
          </cell>
        </row>
        <row r="90">
          <cell r="A90">
            <v>1727518510122</v>
          </cell>
          <cell r="B90">
            <v>25.53</v>
          </cell>
          <cell r="C90">
            <v>265</v>
          </cell>
        </row>
        <row r="91">
          <cell r="A91">
            <v>1726202025394</v>
          </cell>
          <cell r="B91">
            <v>6.48</v>
          </cell>
          <cell r="C91">
            <v>60</v>
          </cell>
        </row>
        <row r="92">
          <cell r="A92">
            <v>1728366164094</v>
          </cell>
          <cell r="B92">
            <v>9.6</v>
          </cell>
          <cell r="C92">
            <v>95</v>
          </cell>
        </row>
        <row r="93">
          <cell r="A93">
            <v>1724485590720</v>
          </cell>
          <cell r="B93">
            <v>3.78</v>
          </cell>
          <cell r="C93">
            <v>35</v>
          </cell>
        </row>
        <row r="94">
          <cell r="A94">
            <v>1728624413522</v>
          </cell>
          <cell r="B94">
            <v>2</v>
          </cell>
          <cell r="C94">
            <v>20</v>
          </cell>
        </row>
        <row r="95">
          <cell r="A95">
            <v>1728362051853</v>
          </cell>
          <cell r="B95">
            <v>9.6999999999999993</v>
          </cell>
          <cell r="C95">
            <v>95</v>
          </cell>
        </row>
        <row r="96">
          <cell r="A96">
            <v>1728631791144</v>
          </cell>
          <cell r="B96">
            <v>9.9600000000000009</v>
          </cell>
          <cell r="C96">
            <v>100</v>
          </cell>
        </row>
        <row r="97">
          <cell r="A97">
            <v>1728542176921</v>
          </cell>
          <cell r="B97">
            <v>4.37</v>
          </cell>
          <cell r="C97">
            <v>95</v>
          </cell>
        </row>
        <row r="98">
          <cell r="A98">
            <v>1724478003565</v>
          </cell>
          <cell r="B98">
            <v>4.2300000000000004</v>
          </cell>
          <cell r="C98">
            <v>50</v>
          </cell>
        </row>
        <row r="99">
          <cell r="A99">
            <v>1725254147961</v>
          </cell>
          <cell r="B99">
            <v>3.84</v>
          </cell>
          <cell r="C99">
            <v>55</v>
          </cell>
        </row>
        <row r="100">
          <cell r="A100">
            <v>1724482791302</v>
          </cell>
          <cell r="B100">
            <v>21.99</v>
          </cell>
          <cell r="C100">
            <v>205</v>
          </cell>
        </row>
        <row r="101">
          <cell r="A101">
            <v>1728461375820</v>
          </cell>
          <cell r="B101">
            <v>13.56</v>
          </cell>
          <cell r="C101">
            <v>140</v>
          </cell>
        </row>
        <row r="102">
          <cell r="A102">
            <v>1744261318999</v>
          </cell>
          <cell r="B102">
            <v>12.58</v>
          </cell>
          <cell r="C102">
            <v>130</v>
          </cell>
        </row>
        <row r="103">
          <cell r="A103">
            <v>1744348954811</v>
          </cell>
          <cell r="B103">
            <v>3.2</v>
          </cell>
          <cell r="C103">
            <v>35</v>
          </cell>
        </row>
        <row r="104">
          <cell r="A104">
            <v>1743658102904</v>
          </cell>
          <cell r="B104">
            <v>8.33</v>
          </cell>
          <cell r="C104">
            <v>85</v>
          </cell>
        </row>
        <row r="105">
          <cell r="A105">
            <v>1744264431081</v>
          </cell>
          <cell r="B105">
            <v>10.34</v>
          </cell>
          <cell r="C105">
            <v>105</v>
          </cell>
        </row>
        <row r="106">
          <cell r="A106">
            <v>1725255101073</v>
          </cell>
          <cell r="B106">
            <v>4.51</v>
          </cell>
          <cell r="C106">
            <v>70</v>
          </cell>
        </row>
        <row r="107">
          <cell r="A107">
            <v>995</v>
          </cell>
          <cell r="B107">
            <v>27.65</v>
          </cell>
          <cell r="C107">
            <v>280</v>
          </cell>
        </row>
        <row r="108">
          <cell r="A108">
            <v>1726220213442</v>
          </cell>
          <cell r="B108">
            <v>35.35</v>
          </cell>
          <cell r="C108">
            <v>355</v>
          </cell>
        </row>
        <row r="109">
          <cell r="A109">
            <v>1725692272020</v>
          </cell>
          <cell r="B109">
            <v>4.24</v>
          </cell>
          <cell r="C109">
            <v>45</v>
          </cell>
        </row>
        <row r="110">
          <cell r="A110">
            <v>1723611274806</v>
          </cell>
          <cell r="B110">
            <v>5.88</v>
          </cell>
          <cell r="C110">
            <v>60</v>
          </cell>
        </row>
        <row r="111">
          <cell r="A111">
            <v>2434</v>
          </cell>
          <cell r="B111">
            <v>10.32</v>
          </cell>
          <cell r="C111">
            <v>110</v>
          </cell>
        </row>
        <row r="112">
          <cell r="A112">
            <v>2316</v>
          </cell>
          <cell r="B112">
            <v>9.08</v>
          </cell>
          <cell r="C112">
            <v>100</v>
          </cell>
        </row>
        <row r="113">
          <cell r="A113">
            <v>2426</v>
          </cell>
          <cell r="B113">
            <v>8.5500000000000007</v>
          </cell>
          <cell r="C113">
            <v>85</v>
          </cell>
        </row>
        <row r="114">
          <cell r="A114">
            <v>998</v>
          </cell>
          <cell r="B114">
            <v>23.79</v>
          </cell>
          <cell r="C114">
            <v>255</v>
          </cell>
        </row>
        <row r="115">
          <cell r="A115">
            <v>2429</v>
          </cell>
          <cell r="B115">
            <v>14.34</v>
          </cell>
          <cell r="C115">
            <v>155</v>
          </cell>
        </row>
        <row r="116">
          <cell r="A116">
            <v>1917</v>
          </cell>
          <cell r="B116">
            <v>24.39</v>
          </cell>
          <cell r="C116">
            <v>240</v>
          </cell>
        </row>
        <row r="117">
          <cell r="A117">
            <v>1710562995030</v>
          </cell>
          <cell r="B117">
            <v>12.43</v>
          </cell>
          <cell r="C117">
            <v>130</v>
          </cell>
        </row>
        <row r="118">
          <cell r="A118">
            <v>1711947865383</v>
          </cell>
          <cell r="B118">
            <v>14.35</v>
          </cell>
          <cell r="C118">
            <v>150</v>
          </cell>
        </row>
        <row r="119">
          <cell r="A119">
            <v>1715859712838</v>
          </cell>
          <cell r="B119">
            <v>20.76</v>
          </cell>
          <cell r="C119">
            <v>205</v>
          </cell>
        </row>
        <row r="120">
          <cell r="A120">
            <v>1723181756139</v>
          </cell>
          <cell r="B120">
            <v>7.17</v>
          </cell>
          <cell r="C120">
            <v>75</v>
          </cell>
        </row>
        <row r="121">
          <cell r="A121">
            <v>1717566706294</v>
          </cell>
          <cell r="B121">
            <v>4.41</v>
          </cell>
          <cell r="C121">
            <v>50</v>
          </cell>
        </row>
        <row r="122">
          <cell r="A122">
            <v>1723182653940</v>
          </cell>
          <cell r="B122">
            <v>6.54</v>
          </cell>
          <cell r="C122">
            <v>70</v>
          </cell>
        </row>
        <row r="123">
          <cell r="A123">
            <v>1718188905197</v>
          </cell>
          <cell r="B123">
            <v>12.91</v>
          </cell>
          <cell r="C123">
            <v>130</v>
          </cell>
        </row>
        <row r="124">
          <cell r="A124">
            <v>1723180805798</v>
          </cell>
          <cell r="B124">
            <v>6.62</v>
          </cell>
          <cell r="C124">
            <v>75</v>
          </cell>
        </row>
        <row r="125">
          <cell r="A125">
            <v>1718167852555</v>
          </cell>
          <cell r="B125">
            <v>5.91</v>
          </cell>
          <cell r="C125">
            <v>60</v>
          </cell>
        </row>
        <row r="126">
          <cell r="A126">
            <v>1744443638863</v>
          </cell>
          <cell r="B126">
            <v>17.239999999999998</v>
          </cell>
          <cell r="C126">
            <v>185</v>
          </cell>
        </row>
        <row r="127">
          <cell r="A127">
            <v>1716031542689</v>
          </cell>
          <cell r="B127">
            <v>12.07</v>
          </cell>
          <cell r="C127">
            <v>125</v>
          </cell>
        </row>
        <row r="128">
          <cell r="A128">
            <v>1741608437427</v>
          </cell>
          <cell r="B128">
            <v>10.57</v>
          </cell>
          <cell r="C128">
            <v>110</v>
          </cell>
        </row>
        <row r="129">
          <cell r="A129">
            <v>1728464898927</v>
          </cell>
          <cell r="B129">
            <v>4.8099999999999996</v>
          </cell>
          <cell r="C129">
            <v>50</v>
          </cell>
        </row>
        <row r="130">
          <cell r="A130">
            <v>1728278772389</v>
          </cell>
          <cell r="B130">
            <v>7.85</v>
          </cell>
          <cell r="C130">
            <v>80</v>
          </cell>
        </row>
        <row r="131">
          <cell r="A131">
            <v>2342</v>
          </cell>
          <cell r="B131">
            <v>8.8699999999999992</v>
          </cell>
          <cell r="C131">
            <v>100</v>
          </cell>
        </row>
        <row r="132">
          <cell r="A132">
            <v>994</v>
          </cell>
          <cell r="B132">
            <v>21.8</v>
          </cell>
          <cell r="C132">
            <v>205</v>
          </cell>
        </row>
        <row r="133">
          <cell r="A133">
            <v>1118</v>
          </cell>
          <cell r="B133">
            <v>5.42</v>
          </cell>
          <cell r="C133">
            <v>55</v>
          </cell>
        </row>
        <row r="134">
          <cell r="A134">
            <v>1730695706843</v>
          </cell>
          <cell r="B134">
            <v>4.93</v>
          </cell>
          <cell r="C134">
            <v>90</v>
          </cell>
        </row>
        <row r="135">
          <cell r="A135">
            <v>1728895492562</v>
          </cell>
          <cell r="B135">
            <v>6.53</v>
          </cell>
          <cell r="C135">
            <v>70</v>
          </cell>
        </row>
        <row r="136">
          <cell r="A136">
            <v>1716032216823</v>
          </cell>
          <cell r="B136">
            <v>14.79</v>
          </cell>
          <cell r="C136">
            <v>155</v>
          </cell>
        </row>
        <row r="137">
          <cell r="A137">
            <v>1728627002381</v>
          </cell>
          <cell r="B137">
            <v>7.85</v>
          </cell>
          <cell r="C137">
            <v>85</v>
          </cell>
        </row>
        <row r="138">
          <cell r="A138">
            <v>1743837768876</v>
          </cell>
          <cell r="B138">
            <v>2.72</v>
          </cell>
          <cell r="C138">
            <v>30</v>
          </cell>
        </row>
        <row r="139">
          <cell r="A139">
            <v>1723790439167</v>
          </cell>
          <cell r="B139">
            <v>16.07</v>
          </cell>
          <cell r="C139">
            <v>180</v>
          </cell>
        </row>
        <row r="140">
          <cell r="A140">
            <v>1723786820459</v>
          </cell>
          <cell r="B140">
            <v>6.2</v>
          </cell>
          <cell r="C140">
            <v>60</v>
          </cell>
        </row>
        <row r="141">
          <cell r="A141">
            <v>1727779013296</v>
          </cell>
          <cell r="B141">
            <v>8.6999999999999993</v>
          </cell>
          <cell r="C141">
            <v>90</v>
          </cell>
        </row>
        <row r="142">
          <cell r="A142">
            <v>1744450663228</v>
          </cell>
          <cell r="B142">
            <v>3.42</v>
          </cell>
          <cell r="C142">
            <v>40</v>
          </cell>
        </row>
        <row r="143">
          <cell r="A143">
            <v>1744183405872</v>
          </cell>
          <cell r="B143">
            <v>1.79</v>
          </cell>
          <cell r="C143">
            <v>20</v>
          </cell>
        </row>
        <row r="144">
          <cell r="A144">
            <v>1726649963749</v>
          </cell>
          <cell r="B144">
            <v>15.69</v>
          </cell>
          <cell r="C144">
            <v>165</v>
          </cell>
        </row>
        <row r="145">
          <cell r="A145">
            <v>1724317149948</v>
          </cell>
          <cell r="B145">
            <v>22.68</v>
          </cell>
          <cell r="C145">
            <v>235</v>
          </cell>
        </row>
        <row r="146">
          <cell r="A146">
            <v>1726226729702</v>
          </cell>
          <cell r="B146">
            <v>2.27</v>
          </cell>
          <cell r="C146">
            <v>20</v>
          </cell>
        </row>
        <row r="147">
          <cell r="A147">
            <v>1747980119989</v>
          </cell>
          <cell r="B147">
            <v>56.18</v>
          </cell>
          <cell r="C147">
            <v>565</v>
          </cell>
        </row>
        <row r="148">
          <cell r="A148">
            <v>997</v>
          </cell>
          <cell r="B148">
            <v>21.29</v>
          </cell>
          <cell r="C148">
            <v>205</v>
          </cell>
        </row>
        <row r="149">
          <cell r="A149">
            <v>1002</v>
          </cell>
          <cell r="B149">
            <v>9.9700000000000006</v>
          </cell>
          <cell r="C149">
            <v>105</v>
          </cell>
        </row>
        <row r="150">
          <cell r="A150">
            <v>1716031681828</v>
          </cell>
          <cell r="B150">
            <v>16.329999999999998</v>
          </cell>
          <cell r="C150">
            <v>175</v>
          </cell>
        </row>
        <row r="151">
          <cell r="A151">
            <v>1728275768050</v>
          </cell>
          <cell r="B151">
            <v>2.39</v>
          </cell>
          <cell r="C151">
            <v>25</v>
          </cell>
        </row>
        <row r="152">
          <cell r="A152">
            <v>1725268189751</v>
          </cell>
          <cell r="B152">
            <v>22.96</v>
          </cell>
          <cell r="C152">
            <v>240</v>
          </cell>
        </row>
        <row r="153">
          <cell r="A153">
            <v>1726901287528</v>
          </cell>
          <cell r="B153">
            <v>2.08</v>
          </cell>
          <cell r="C153">
            <v>20</v>
          </cell>
        </row>
        <row r="154">
          <cell r="A154">
            <v>1731407185891</v>
          </cell>
          <cell r="B154">
            <v>5.25</v>
          </cell>
          <cell r="C154">
            <v>55</v>
          </cell>
        </row>
        <row r="155">
          <cell r="A155">
            <v>1726643265035</v>
          </cell>
          <cell r="B155">
            <v>9.0299999999999994</v>
          </cell>
          <cell r="C155">
            <v>95</v>
          </cell>
        </row>
        <row r="156">
          <cell r="A156">
            <v>1737443262786</v>
          </cell>
          <cell r="B156">
            <v>20.350000000000001</v>
          </cell>
          <cell r="C156">
            <v>200</v>
          </cell>
        </row>
        <row r="157">
          <cell r="A157">
            <v>1715845530425</v>
          </cell>
          <cell r="B157">
            <v>6.23</v>
          </cell>
          <cell r="C157">
            <v>60</v>
          </cell>
        </row>
        <row r="158">
          <cell r="A158">
            <v>1723023015147</v>
          </cell>
          <cell r="B158">
            <v>8.8800000000000008</v>
          </cell>
          <cell r="C158">
            <v>90</v>
          </cell>
        </row>
        <row r="159">
          <cell r="A159">
            <v>1728011707616</v>
          </cell>
          <cell r="B159">
            <v>7.71</v>
          </cell>
          <cell r="C159">
            <v>70</v>
          </cell>
        </row>
        <row r="160">
          <cell r="A160">
            <v>1727755417682</v>
          </cell>
          <cell r="B160">
            <v>2.82</v>
          </cell>
          <cell r="C160">
            <v>25</v>
          </cell>
        </row>
        <row r="161">
          <cell r="A161">
            <v>1726045317449</v>
          </cell>
          <cell r="B161">
            <v>10.87</v>
          </cell>
          <cell r="C161">
            <v>115</v>
          </cell>
        </row>
        <row r="162">
          <cell r="A162">
            <v>1004</v>
          </cell>
          <cell r="B162">
            <v>11.71</v>
          </cell>
          <cell r="C162">
            <v>110</v>
          </cell>
        </row>
        <row r="163">
          <cell r="A163">
            <v>1729748140471</v>
          </cell>
          <cell r="B163">
            <v>9.61</v>
          </cell>
          <cell r="C163">
            <v>95</v>
          </cell>
        </row>
        <row r="164">
          <cell r="A164">
            <v>1745304384040</v>
          </cell>
          <cell r="B164">
            <v>8.5399999999999991</v>
          </cell>
          <cell r="C164">
            <v>90</v>
          </cell>
        </row>
        <row r="165">
          <cell r="A165">
            <v>1724486255967</v>
          </cell>
          <cell r="B165">
            <v>14.92</v>
          </cell>
          <cell r="C165">
            <v>180</v>
          </cell>
        </row>
        <row r="166">
          <cell r="A166">
            <v>1729138432786</v>
          </cell>
          <cell r="B166">
            <v>19.41</v>
          </cell>
          <cell r="C166">
            <v>205</v>
          </cell>
        </row>
        <row r="167">
          <cell r="A167">
            <v>1737266775430</v>
          </cell>
          <cell r="B167">
            <v>19.27</v>
          </cell>
          <cell r="C167">
            <v>185</v>
          </cell>
        </row>
        <row r="168">
          <cell r="A168">
            <v>1725429068470</v>
          </cell>
          <cell r="B168">
            <v>2.34</v>
          </cell>
          <cell r="C168">
            <v>25</v>
          </cell>
        </row>
        <row r="169">
          <cell r="A169">
            <v>135</v>
          </cell>
          <cell r="B169">
            <v>20.8</v>
          </cell>
          <cell r="C169">
            <v>225</v>
          </cell>
        </row>
        <row r="170">
          <cell r="A170">
            <v>1742980704611</v>
          </cell>
          <cell r="B170">
            <v>5.45</v>
          </cell>
          <cell r="C170">
            <v>60</v>
          </cell>
        </row>
        <row r="171">
          <cell r="A171">
            <v>1737456879619</v>
          </cell>
          <cell r="B171">
            <v>13.36</v>
          </cell>
          <cell r="C171">
            <v>145</v>
          </cell>
        </row>
        <row r="172">
          <cell r="A172">
            <v>1724483446116</v>
          </cell>
          <cell r="B172">
            <v>15.53</v>
          </cell>
          <cell r="C172">
            <v>155</v>
          </cell>
        </row>
        <row r="173">
          <cell r="A173">
            <v>1737266893060</v>
          </cell>
          <cell r="B173">
            <v>24.45</v>
          </cell>
          <cell r="C173">
            <v>230</v>
          </cell>
        </row>
        <row r="174">
          <cell r="A174">
            <v>1723528445601</v>
          </cell>
          <cell r="B174">
            <v>11.9</v>
          </cell>
          <cell r="C174">
            <v>120</v>
          </cell>
        </row>
        <row r="175">
          <cell r="A175">
            <v>1723882445340</v>
          </cell>
          <cell r="B175">
            <v>6.77</v>
          </cell>
          <cell r="C175">
            <v>65</v>
          </cell>
        </row>
        <row r="176">
          <cell r="A176">
            <v>1715848969391</v>
          </cell>
          <cell r="B176">
            <v>5.58</v>
          </cell>
          <cell r="C176">
            <v>55</v>
          </cell>
        </row>
        <row r="177">
          <cell r="A177">
            <v>1716031936753</v>
          </cell>
          <cell r="B177">
            <v>5.72</v>
          </cell>
          <cell r="C177">
            <v>65</v>
          </cell>
        </row>
        <row r="178">
          <cell r="A178">
            <v>1722409500860</v>
          </cell>
          <cell r="B178">
            <v>6.2</v>
          </cell>
          <cell r="C178">
            <v>70</v>
          </cell>
        </row>
        <row r="179">
          <cell r="A179">
            <v>1723613256163</v>
          </cell>
          <cell r="B179">
            <v>5.98</v>
          </cell>
          <cell r="C179">
            <v>65</v>
          </cell>
        </row>
        <row r="180">
          <cell r="A180">
            <v>1723623089946</v>
          </cell>
          <cell r="B180">
            <v>14.91</v>
          </cell>
          <cell r="C180">
            <v>140</v>
          </cell>
        </row>
        <row r="181">
          <cell r="A181">
            <v>1723615653471</v>
          </cell>
          <cell r="B181">
            <v>2.25</v>
          </cell>
          <cell r="C181">
            <v>20</v>
          </cell>
        </row>
        <row r="182">
          <cell r="A182">
            <v>1723874429201</v>
          </cell>
          <cell r="B182">
            <v>12.6</v>
          </cell>
          <cell r="C182">
            <v>130</v>
          </cell>
        </row>
        <row r="183">
          <cell r="A183">
            <v>1723880124524</v>
          </cell>
          <cell r="B183">
            <v>5.14</v>
          </cell>
          <cell r="C183">
            <v>50</v>
          </cell>
        </row>
        <row r="184">
          <cell r="A184">
            <v>1726650238972</v>
          </cell>
          <cell r="B184">
            <v>21.88</v>
          </cell>
          <cell r="C184">
            <v>245</v>
          </cell>
        </row>
        <row r="185">
          <cell r="A185">
            <v>1724316834569</v>
          </cell>
          <cell r="B185">
            <v>20.149999999999999</v>
          </cell>
          <cell r="C185">
            <v>205</v>
          </cell>
        </row>
        <row r="186">
          <cell r="A186">
            <v>1732599647468</v>
          </cell>
          <cell r="B186">
            <v>2.35</v>
          </cell>
          <cell r="C186">
            <v>60</v>
          </cell>
        </row>
        <row r="187">
          <cell r="A187">
            <v>1729571619646</v>
          </cell>
          <cell r="B187">
            <v>3.75</v>
          </cell>
          <cell r="C187">
            <v>70</v>
          </cell>
        </row>
        <row r="188">
          <cell r="A188">
            <v>1728969151426</v>
          </cell>
          <cell r="B188">
            <v>21.37</v>
          </cell>
          <cell r="C188">
            <v>205</v>
          </cell>
        </row>
        <row r="189">
          <cell r="A189">
            <v>1710565878731</v>
          </cell>
          <cell r="B189">
            <v>26.67</v>
          </cell>
          <cell r="C189">
            <v>270</v>
          </cell>
        </row>
        <row r="190">
          <cell r="A190">
            <v>1738733038243</v>
          </cell>
          <cell r="B190">
            <v>10.69</v>
          </cell>
          <cell r="C190">
            <v>105</v>
          </cell>
        </row>
        <row r="191">
          <cell r="A191">
            <v>1728104318429</v>
          </cell>
          <cell r="B191">
            <v>15.43</v>
          </cell>
          <cell r="C191">
            <v>165</v>
          </cell>
        </row>
        <row r="192">
          <cell r="A192">
            <v>1729922496115</v>
          </cell>
          <cell r="B192">
            <v>6.12</v>
          </cell>
          <cell r="C192">
            <v>60</v>
          </cell>
        </row>
        <row r="193">
          <cell r="A193">
            <v>1726642181818</v>
          </cell>
          <cell r="B193">
            <v>14.79</v>
          </cell>
          <cell r="C193">
            <v>155</v>
          </cell>
        </row>
        <row r="194">
          <cell r="A194">
            <v>1727928705485</v>
          </cell>
          <cell r="B194">
            <v>7.16</v>
          </cell>
          <cell r="C194">
            <v>65</v>
          </cell>
        </row>
        <row r="195">
          <cell r="A195">
            <v>1730179636587</v>
          </cell>
          <cell r="B195">
            <v>2.4900000000000002</v>
          </cell>
          <cell r="C195">
            <v>25</v>
          </cell>
        </row>
        <row r="196">
          <cell r="A196">
            <v>1729140118111</v>
          </cell>
          <cell r="B196">
            <v>19.52</v>
          </cell>
          <cell r="C196">
            <v>205</v>
          </cell>
        </row>
        <row r="197">
          <cell r="A197">
            <v>1724130259380</v>
          </cell>
          <cell r="B197">
            <v>31.2</v>
          </cell>
          <cell r="C197">
            <v>335</v>
          </cell>
        </row>
        <row r="198">
          <cell r="A198">
            <v>1729751376020</v>
          </cell>
          <cell r="B198">
            <v>9.1999999999999993</v>
          </cell>
          <cell r="C198">
            <v>100</v>
          </cell>
        </row>
        <row r="199">
          <cell r="A199">
            <v>1726640695203</v>
          </cell>
          <cell r="B199">
            <v>14.34</v>
          </cell>
          <cell r="C199">
            <v>145</v>
          </cell>
        </row>
        <row r="200">
          <cell r="A200">
            <v>1724212667914</v>
          </cell>
          <cell r="B200">
            <v>18.29</v>
          </cell>
          <cell r="C200">
            <v>215</v>
          </cell>
        </row>
        <row r="201">
          <cell r="A201">
            <v>1723882337019</v>
          </cell>
          <cell r="B201">
            <v>28.98</v>
          </cell>
          <cell r="C201">
            <v>315</v>
          </cell>
        </row>
        <row r="202">
          <cell r="A202">
            <v>1729677982358</v>
          </cell>
          <cell r="B202">
            <v>3.89</v>
          </cell>
          <cell r="C202">
            <v>40</v>
          </cell>
        </row>
        <row r="203">
          <cell r="A203">
            <v>1724483073285</v>
          </cell>
          <cell r="B203">
            <v>23.54</v>
          </cell>
          <cell r="C203">
            <v>250</v>
          </cell>
        </row>
        <row r="204">
          <cell r="A204">
            <v>1729488036803</v>
          </cell>
          <cell r="B204">
            <v>11.82</v>
          </cell>
          <cell r="C204">
            <v>115</v>
          </cell>
        </row>
        <row r="205">
          <cell r="A205">
            <v>1730096084139</v>
          </cell>
          <cell r="B205">
            <v>25.71</v>
          </cell>
          <cell r="C205">
            <v>280</v>
          </cell>
        </row>
        <row r="206">
          <cell r="A206">
            <v>1727150667724</v>
          </cell>
          <cell r="B206">
            <v>3.57</v>
          </cell>
          <cell r="C206">
            <v>35</v>
          </cell>
        </row>
        <row r="207">
          <cell r="A207">
            <v>1725269298453</v>
          </cell>
          <cell r="B207">
            <v>10.48</v>
          </cell>
          <cell r="C207">
            <v>105</v>
          </cell>
        </row>
        <row r="208">
          <cell r="A208">
            <v>1730268603250</v>
          </cell>
          <cell r="B208">
            <v>9.02</v>
          </cell>
          <cell r="C208">
            <v>90</v>
          </cell>
        </row>
        <row r="209">
          <cell r="A209">
            <v>1723882411189</v>
          </cell>
          <cell r="B209">
            <v>9.67</v>
          </cell>
          <cell r="C209">
            <v>110</v>
          </cell>
        </row>
        <row r="210">
          <cell r="A210">
            <v>1723882314735</v>
          </cell>
          <cell r="B210">
            <v>6.61</v>
          </cell>
          <cell r="C210">
            <v>65</v>
          </cell>
        </row>
        <row r="211">
          <cell r="A211">
            <v>1725268948308</v>
          </cell>
          <cell r="B211">
            <v>7.07</v>
          </cell>
          <cell r="C211">
            <v>75</v>
          </cell>
        </row>
        <row r="212">
          <cell r="A212">
            <v>1729751941552</v>
          </cell>
          <cell r="B212">
            <v>8.34</v>
          </cell>
          <cell r="C212">
            <v>75</v>
          </cell>
        </row>
        <row r="213">
          <cell r="A213">
            <v>1729678259463</v>
          </cell>
          <cell r="B213">
            <v>17.12</v>
          </cell>
          <cell r="C213">
            <v>180</v>
          </cell>
        </row>
        <row r="214">
          <cell r="A214">
            <v>1725257579586</v>
          </cell>
          <cell r="B214">
            <v>17.91</v>
          </cell>
          <cell r="C214">
            <v>175</v>
          </cell>
        </row>
        <row r="215">
          <cell r="A215">
            <v>1723528710868</v>
          </cell>
          <cell r="B215">
            <v>4.8099999999999996</v>
          </cell>
          <cell r="C215">
            <v>55</v>
          </cell>
        </row>
        <row r="216">
          <cell r="A216">
            <v>1730697549731</v>
          </cell>
          <cell r="B216">
            <v>2.44</v>
          </cell>
          <cell r="C216">
            <v>25</v>
          </cell>
        </row>
        <row r="217">
          <cell r="A217">
            <v>1725595670804</v>
          </cell>
          <cell r="B217">
            <v>18.07</v>
          </cell>
          <cell r="C217">
            <v>170</v>
          </cell>
        </row>
        <row r="218">
          <cell r="A218">
            <v>1730893032069</v>
          </cell>
          <cell r="B218">
            <v>7.16</v>
          </cell>
          <cell r="C218">
            <v>65</v>
          </cell>
        </row>
        <row r="219">
          <cell r="A219">
            <v>1724315971942</v>
          </cell>
          <cell r="B219">
            <v>6.42</v>
          </cell>
          <cell r="C219">
            <v>70</v>
          </cell>
        </row>
        <row r="220">
          <cell r="A220">
            <v>1729140274171</v>
          </cell>
          <cell r="B220">
            <v>16.22</v>
          </cell>
          <cell r="C220">
            <v>175</v>
          </cell>
        </row>
        <row r="221">
          <cell r="A221">
            <v>1736235344914</v>
          </cell>
          <cell r="B221">
            <v>15.34</v>
          </cell>
          <cell r="C221">
            <v>160</v>
          </cell>
        </row>
        <row r="222">
          <cell r="A222">
            <v>1730893139775</v>
          </cell>
          <cell r="B222">
            <v>3.91</v>
          </cell>
          <cell r="C222">
            <v>35</v>
          </cell>
        </row>
        <row r="223">
          <cell r="A223">
            <v>1744195828367</v>
          </cell>
          <cell r="B223">
            <v>18.75</v>
          </cell>
          <cell r="C223">
            <v>200</v>
          </cell>
        </row>
        <row r="224">
          <cell r="A224">
            <v>1727781410997</v>
          </cell>
          <cell r="B224">
            <v>1.95</v>
          </cell>
          <cell r="C224">
            <v>20</v>
          </cell>
        </row>
        <row r="225">
          <cell r="A225">
            <v>1869</v>
          </cell>
          <cell r="B225">
            <v>17.12</v>
          </cell>
          <cell r="C225">
            <v>185</v>
          </cell>
        </row>
        <row r="226">
          <cell r="A226">
            <v>1730272191761</v>
          </cell>
          <cell r="B226">
            <v>2.64</v>
          </cell>
          <cell r="C226">
            <v>30</v>
          </cell>
        </row>
        <row r="227">
          <cell r="A227">
            <v>1730698889389</v>
          </cell>
          <cell r="B227">
            <v>2.48</v>
          </cell>
          <cell r="C227">
            <v>25</v>
          </cell>
        </row>
        <row r="228">
          <cell r="A228">
            <v>1724314844616</v>
          </cell>
          <cell r="B228">
            <v>26.08</v>
          </cell>
          <cell r="C228">
            <v>290</v>
          </cell>
        </row>
        <row r="229">
          <cell r="A229">
            <v>1745829630705</v>
          </cell>
          <cell r="B229">
            <v>19.68</v>
          </cell>
          <cell r="C229">
            <v>210</v>
          </cell>
        </row>
        <row r="230">
          <cell r="A230">
            <v>1745044574731</v>
          </cell>
          <cell r="B230">
            <v>17.670000000000002</v>
          </cell>
          <cell r="C230">
            <v>185</v>
          </cell>
        </row>
        <row r="231">
          <cell r="A231">
            <v>1730697254412</v>
          </cell>
          <cell r="B231">
            <v>2.21</v>
          </cell>
          <cell r="C231">
            <v>25</v>
          </cell>
        </row>
        <row r="232">
          <cell r="A232">
            <v>1723882752617</v>
          </cell>
          <cell r="B232">
            <v>18.7</v>
          </cell>
          <cell r="C232">
            <v>205</v>
          </cell>
        </row>
        <row r="233">
          <cell r="A233">
            <v>1726133429606</v>
          </cell>
          <cell r="B233">
            <v>4.09</v>
          </cell>
          <cell r="C233">
            <v>45</v>
          </cell>
        </row>
        <row r="234">
          <cell r="A234">
            <v>1738135325057</v>
          </cell>
          <cell r="B234">
            <v>9.16</v>
          </cell>
          <cell r="C234">
            <v>95</v>
          </cell>
        </row>
        <row r="235">
          <cell r="A235">
            <v>1747995491002</v>
          </cell>
          <cell r="B235">
            <v>20.09</v>
          </cell>
          <cell r="C235">
            <v>205</v>
          </cell>
        </row>
        <row r="236">
          <cell r="A236">
            <v>1729138312697</v>
          </cell>
          <cell r="B236">
            <v>19.87</v>
          </cell>
          <cell r="C236">
            <v>205</v>
          </cell>
        </row>
        <row r="237">
          <cell r="A237">
            <v>1723787980568</v>
          </cell>
          <cell r="B237">
            <v>3.58</v>
          </cell>
          <cell r="C237">
            <v>70</v>
          </cell>
        </row>
        <row r="238">
          <cell r="A238">
            <v>1745828642300</v>
          </cell>
          <cell r="B238">
            <v>18.77</v>
          </cell>
          <cell r="C238">
            <v>210</v>
          </cell>
        </row>
        <row r="239">
          <cell r="A239">
            <v>1745921111183</v>
          </cell>
          <cell r="B239">
            <v>21.86</v>
          </cell>
          <cell r="C239">
            <v>235</v>
          </cell>
        </row>
        <row r="240">
          <cell r="A240">
            <v>1727241879088</v>
          </cell>
          <cell r="B240">
            <v>6.62</v>
          </cell>
          <cell r="C240">
            <v>70</v>
          </cell>
        </row>
        <row r="241">
          <cell r="A241">
            <v>1729831530189</v>
          </cell>
          <cell r="B241">
            <v>16.95</v>
          </cell>
          <cell r="C241">
            <v>180</v>
          </cell>
        </row>
        <row r="242">
          <cell r="A242">
            <v>1726729061453</v>
          </cell>
          <cell r="B242">
            <v>23.66</v>
          </cell>
          <cell r="C242">
            <v>225</v>
          </cell>
        </row>
        <row r="243">
          <cell r="A243">
            <v>1726729012955</v>
          </cell>
          <cell r="B243">
            <v>12.77</v>
          </cell>
          <cell r="C243">
            <v>135</v>
          </cell>
        </row>
        <row r="244">
          <cell r="A244">
            <v>1727511646955</v>
          </cell>
          <cell r="B244">
            <v>8.15</v>
          </cell>
          <cell r="C244">
            <v>85</v>
          </cell>
        </row>
        <row r="245">
          <cell r="A245">
            <v>1727059291255</v>
          </cell>
          <cell r="B245">
            <v>2.54</v>
          </cell>
          <cell r="C245">
            <v>25</v>
          </cell>
        </row>
        <row r="246">
          <cell r="A246">
            <v>2094</v>
          </cell>
          <cell r="B246">
            <v>19.5</v>
          </cell>
          <cell r="C246">
            <v>210</v>
          </cell>
        </row>
        <row r="247">
          <cell r="A247">
            <v>1725870646868</v>
          </cell>
          <cell r="B247">
            <v>1.82</v>
          </cell>
          <cell r="C247">
            <v>25</v>
          </cell>
        </row>
        <row r="248">
          <cell r="A248">
            <v>1730697466372</v>
          </cell>
          <cell r="B248">
            <v>4.1500000000000004</v>
          </cell>
          <cell r="C248">
            <v>35</v>
          </cell>
        </row>
        <row r="249">
          <cell r="A249">
            <v>1723268285899</v>
          </cell>
          <cell r="B249">
            <v>10.050000000000001</v>
          </cell>
          <cell r="C249">
            <v>110</v>
          </cell>
        </row>
        <row r="250">
          <cell r="A250">
            <v>1724314789333</v>
          </cell>
          <cell r="B250">
            <v>25.43</v>
          </cell>
          <cell r="C250">
            <v>250</v>
          </cell>
        </row>
        <row r="251">
          <cell r="A251">
            <v>1730271485859</v>
          </cell>
          <cell r="B251">
            <v>15.06</v>
          </cell>
          <cell r="C251">
            <v>130</v>
          </cell>
        </row>
        <row r="252">
          <cell r="A252">
            <v>1723095678582</v>
          </cell>
          <cell r="B252">
            <v>1.61</v>
          </cell>
          <cell r="C252">
            <v>30</v>
          </cell>
        </row>
        <row r="253">
          <cell r="A253">
            <v>2320</v>
          </cell>
          <cell r="B253">
            <v>9.4499999999999993</v>
          </cell>
          <cell r="C253">
            <v>100</v>
          </cell>
        </row>
        <row r="254">
          <cell r="A254">
            <v>1722491798638</v>
          </cell>
          <cell r="B254">
            <v>7.53</v>
          </cell>
          <cell r="C254">
            <v>80</v>
          </cell>
        </row>
        <row r="255">
          <cell r="A255">
            <v>1723007780370</v>
          </cell>
          <cell r="B255">
            <v>2.4500000000000002</v>
          </cell>
          <cell r="C255">
            <v>25</v>
          </cell>
        </row>
        <row r="256">
          <cell r="A256">
            <v>1722929242441</v>
          </cell>
          <cell r="B256">
            <v>5.25</v>
          </cell>
          <cell r="C256">
            <v>80</v>
          </cell>
        </row>
        <row r="257">
          <cell r="A257">
            <v>1727071912351</v>
          </cell>
          <cell r="B257">
            <v>28.99</v>
          </cell>
          <cell r="C257">
            <v>300</v>
          </cell>
        </row>
        <row r="258">
          <cell r="A258">
            <v>1726813905729</v>
          </cell>
          <cell r="B258">
            <v>7.52</v>
          </cell>
          <cell r="C258">
            <v>75</v>
          </cell>
        </row>
        <row r="259">
          <cell r="A259">
            <v>1727148521115</v>
          </cell>
          <cell r="B259">
            <v>6.24</v>
          </cell>
          <cell r="C259">
            <v>65</v>
          </cell>
        </row>
        <row r="260">
          <cell r="A260">
            <v>1726643950459</v>
          </cell>
          <cell r="B260">
            <v>12.32</v>
          </cell>
          <cell r="C260">
            <v>125</v>
          </cell>
        </row>
        <row r="261">
          <cell r="A261">
            <v>1726812860728</v>
          </cell>
          <cell r="B261">
            <v>3.95</v>
          </cell>
          <cell r="C261">
            <v>40</v>
          </cell>
        </row>
        <row r="262">
          <cell r="A262">
            <v>1726815280205</v>
          </cell>
          <cell r="B262">
            <v>9.64</v>
          </cell>
          <cell r="C262">
            <v>90</v>
          </cell>
        </row>
        <row r="263">
          <cell r="A263">
            <v>1726815514669</v>
          </cell>
          <cell r="B263">
            <v>7.22</v>
          </cell>
          <cell r="C263">
            <v>80</v>
          </cell>
        </row>
        <row r="264">
          <cell r="A264">
            <v>1726475147448</v>
          </cell>
          <cell r="B264">
            <v>3.2</v>
          </cell>
          <cell r="C264">
            <v>35</v>
          </cell>
        </row>
        <row r="265">
          <cell r="A265">
            <v>1726647691854</v>
          </cell>
          <cell r="B265">
            <v>1.91</v>
          </cell>
          <cell r="C265">
            <v>20</v>
          </cell>
        </row>
        <row r="266">
          <cell r="A266">
            <v>1727149855067</v>
          </cell>
          <cell r="B266">
            <v>3.65</v>
          </cell>
          <cell r="C266">
            <v>40</v>
          </cell>
        </row>
        <row r="267">
          <cell r="A267">
            <v>1726819188230</v>
          </cell>
          <cell r="B267">
            <v>9.09</v>
          </cell>
          <cell r="C267">
            <v>95</v>
          </cell>
        </row>
        <row r="268">
          <cell r="A268">
            <v>1742719319326</v>
          </cell>
          <cell r="B268">
            <v>8.14</v>
          </cell>
          <cell r="C268">
            <v>90</v>
          </cell>
        </row>
        <row r="269">
          <cell r="A269">
            <v>1710563596505</v>
          </cell>
          <cell r="B269">
            <v>2.77</v>
          </cell>
          <cell r="C269">
            <v>65</v>
          </cell>
        </row>
        <row r="270">
          <cell r="A270">
            <v>2090</v>
          </cell>
          <cell r="B270">
            <v>20.92</v>
          </cell>
          <cell r="C270">
            <v>200</v>
          </cell>
        </row>
        <row r="271">
          <cell r="A271">
            <v>1729054993949</v>
          </cell>
          <cell r="B271">
            <v>20.93</v>
          </cell>
          <cell r="C271">
            <v>205</v>
          </cell>
        </row>
        <row r="272">
          <cell r="A272">
            <v>1723787674503</v>
          </cell>
          <cell r="B272">
            <v>3.93</v>
          </cell>
          <cell r="C272">
            <v>60</v>
          </cell>
        </row>
        <row r="273">
          <cell r="A273">
            <v>1722407503243</v>
          </cell>
          <cell r="B273">
            <v>2.4500000000000002</v>
          </cell>
          <cell r="C273">
            <v>50</v>
          </cell>
        </row>
        <row r="274">
          <cell r="A274">
            <v>1726652775795</v>
          </cell>
          <cell r="B274">
            <v>7.8</v>
          </cell>
          <cell r="C274">
            <v>85</v>
          </cell>
        </row>
        <row r="275">
          <cell r="A275">
            <v>2110</v>
          </cell>
          <cell r="B275">
            <v>14.2</v>
          </cell>
          <cell r="C275">
            <v>150</v>
          </cell>
        </row>
        <row r="276">
          <cell r="A276">
            <v>354</v>
          </cell>
          <cell r="B276">
            <v>2.5099999999999998</v>
          </cell>
          <cell r="C276">
            <v>35</v>
          </cell>
        </row>
        <row r="277">
          <cell r="A277">
            <v>1744191600764</v>
          </cell>
          <cell r="B277">
            <v>4.0999999999999996</v>
          </cell>
          <cell r="C277">
            <v>45</v>
          </cell>
        </row>
        <row r="278">
          <cell r="A278">
            <v>1726902938466</v>
          </cell>
          <cell r="B278">
            <v>4.8600000000000003</v>
          </cell>
          <cell r="C278">
            <v>50</v>
          </cell>
        </row>
        <row r="279">
          <cell r="A279">
            <v>1723010788449</v>
          </cell>
          <cell r="B279">
            <v>4.2</v>
          </cell>
          <cell r="C279">
            <v>50</v>
          </cell>
        </row>
        <row r="280">
          <cell r="A280">
            <v>1723097644202</v>
          </cell>
          <cell r="B280">
            <v>10.659000000000001</v>
          </cell>
          <cell r="C280">
            <v>90</v>
          </cell>
        </row>
        <row r="281">
          <cell r="A281">
            <v>1723268915256</v>
          </cell>
          <cell r="B281">
            <v>2.4900000000000002</v>
          </cell>
          <cell r="C281">
            <v>20</v>
          </cell>
        </row>
        <row r="282">
          <cell r="A282">
            <v>1722923267778</v>
          </cell>
          <cell r="B282">
            <v>2.54</v>
          </cell>
          <cell r="C282">
            <v>40</v>
          </cell>
        </row>
        <row r="283">
          <cell r="A283">
            <v>1727073357508</v>
          </cell>
          <cell r="B283">
            <v>11.26</v>
          </cell>
          <cell r="C283">
            <v>120</v>
          </cell>
        </row>
        <row r="284">
          <cell r="A284">
            <v>1726558359779</v>
          </cell>
          <cell r="B284">
            <v>3.57</v>
          </cell>
          <cell r="C284">
            <v>40</v>
          </cell>
        </row>
        <row r="285">
          <cell r="A285">
            <v>1726469460107</v>
          </cell>
          <cell r="B285">
            <v>3.95</v>
          </cell>
          <cell r="C285">
            <v>40</v>
          </cell>
        </row>
        <row r="286">
          <cell r="A286">
            <v>1726729209025</v>
          </cell>
          <cell r="B286">
            <v>15.73</v>
          </cell>
          <cell r="C286">
            <v>175</v>
          </cell>
        </row>
        <row r="287">
          <cell r="A287">
            <v>1723616280786</v>
          </cell>
          <cell r="B287">
            <v>8.24</v>
          </cell>
          <cell r="C287">
            <v>80</v>
          </cell>
        </row>
        <row r="288">
          <cell r="A288">
            <v>1727495737253</v>
          </cell>
          <cell r="B288">
            <v>10.3</v>
          </cell>
          <cell r="C288">
            <v>100</v>
          </cell>
        </row>
        <row r="289">
          <cell r="A289">
            <v>1723440837319</v>
          </cell>
          <cell r="B289">
            <v>5.6</v>
          </cell>
          <cell r="C289">
            <v>80</v>
          </cell>
        </row>
        <row r="290">
          <cell r="A290">
            <v>1723098064049</v>
          </cell>
          <cell r="B290">
            <v>18.84</v>
          </cell>
          <cell r="C290">
            <v>225</v>
          </cell>
        </row>
        <row r="291">
          <cell r="A291">
            <v>1743244714374</v>
          </cell>
          <cell r="B291">
            <v>5.65</v>
          </cell>
          <cell r="C291">
            <v>60</v>
          </cell>
        </row>
        <row r="292">
          <cell r="A292">
            <v>1724476472663</v>
          </cell>
          <cell r="B292">
            <v>9.69</v>
          </cell>
          <cell r="C292">
            <v>90</v>
          </cell>
        </row>
        <row r="293">
          <cell r="A293">
            <v>1726650580005</v>
          </cell>
          <cell r="B293">
            <v>2.9580000000000002</v>
          </cell>
          <cell r="C293">
            <v>20</v>
          </cell>
        </row>
        <row r="294">
          <cell r="A294">
            <v>1724221491057</v>
          </cell>
          <cell r="B294">
            <v>7.8</v>
          </cell>
          <cell r="C294">
            <v>75</v>
          </cell>
        </row>
        <row r="295">
          <cell r="A295">
            <v>1723789134750</v>
          </cell>
          <cell r="B295">
            <v>15.58</v>
          </cell>
          <cell r="C295">
            <v>150</v>
          </cell>
        </row>
        <row r="296">
          <cell r="A296">
            <v>1724314244913</v>
          </cell>
          <cell r="B296">
            <v>9.9700000000000006</v>
          </cell>
          <cell r="C296">
            <v>100</v>
          </cell>
        </row>
        <row r="297">
          <cell r="A297">
            <v>1724313834889</v>
          </cell>
          <cell r="B297">
            <v>14.52</v>
          </cell>
          <cell r="C297">
            <v>130</v>
          </cell>
        </row>
        <row r="298">
          <cell r="A298">
            <v>1723612955040</v>
          </cell>
          <cell r="B298">
            <v>13.22</v>
          </cell>
          <cell r="C298">
            <v>135</v>
          </cell>
        </row>
        <row r="299">
          <cell r="A299">
            <v>1723523709447</v>
          </cell>
          <cell r="B299">
            <v>18.75</v>
          </cell>
          <cell r="C299">
            <v>185</v>
          </cell>
        </row>
        <row r="300">
          <cell r="A300">
            <v>1724394450093</v>
          </cell>
          <cell r="B300">
            <v>6.09</v>
          </cell>
          <cell r="C300">
            <v>65</v>
          </cell>
        </row>
        <row r="301">
          <cell r="A301">
            <v>1724392872322</v>
          </cell>
          <cell r="B301">
            <v>3.95</v>
          </cell>
          <cell r="C301">
            <v>40</v>
          </cell>
        </row>
        <row r="302">
          <cell r="A302">
            <v>1725269882401</v>
          </cell>
          <cell r="B302">
            <v>6.78</v>
          </cell>
          <cell r="C302">
            <v>75</v>
          </cell>
        </row>
        <row r="303">
          <cell r="A303">
            <v>1725268597160</v>
          </cell>
          <cell r="B303">
            <v>11.24</v>
          </cell>
          <cell r="C303">
            <v>125</v>
          </cell>
        </row>
        <row r="304">
          <cell r="A304">
            <v>1725511075401</v>
          </cell>
          <cell r="B304">
            <v>2.56</v>
          </cell>
          <cell r="C304">
            <v>25</v>
          </cell>
        </row>
        <row r="305">
          <cell r="A305">
            <v>1725268513981</v>
          </cell>
          <cell r="B305">
            <v>15.82</v>
          </cell>
          <cell r="C305">
            <v>170</v>
          </cell>
        </row>
        <row r="306">
          <cell r="A306">
            <v>1727926974467</v>
          </cell>
          <cell r="B306">
            <v>2.0499999999999998</v>
          </cell>
          <cell r="C306">
            <v>25</v>
          </cell>
        </row>
        <row r="307">
          <cell r="A307">
            <v>1737783880914</v>
          </cell>
          <cell r="B307">
            <v>15.67</v>
          </cell>
          <cell r="C307">
            <v>135</v>
          </cell>
        </row>
        <row r="308">
          <cell r="A308">
            <v>1726728722062</v>
          </cell>
          <cell r="B308">
            <v>4.79</v>
          </cell>
          <cell r="C308">
            <v>45</v>
          </cell>
        </row>
        <row r="309">
          <cell r="A309">
            <v>1726818994149</v>
          </cell>
          <cell r="B309">
            <v>8.85</v>
          </cell>
          <cell r="C309">
            <v>90</v>
          </cell>
        </row>
        <row r="310">
          <cell r="A310">
            <v>1723275580989</v>
          </cell>
          <cell r="B310">
            <v>14.63</v>
          </cell>
          <cell r="C310">
            <v>145</v>
          </cell>
        </row>
        <row r="311">
          <cell r="A311">
            <v>1723024635071</v>
          </cell>
          <cell r="B311">
            <v>15.94</v>
          </cell>
          <cell r="C311">
            <v>160</v>
          </cell>
        </row>
        <row r="312">
          <cell r="A312">
            <v>1724393234643</v>
          </cell>
          <cell r="B312">
            <v>3.33</v>
          </cell>
          <cell r="C312">
            <v>35</v>
          </cell>
        </row>
        <row r="313">
          <cell r="A313">
            <v>1722926593217</v>
          </cell>
          <cell r="B313">
            <v>1.8</v>
          </cell>
          <cell r="C313">
            <v>15</v>
          </cell>
        </row>
        <row r="314">
          <cell r="A314">
            <v>1723447955522</v>
          </cell>
          <cell r="B314">
            <v>13.09</v>
          </cell>
          <cell r="C314">
            <v>130</v>
          </cell>
        </row>
        <row r="315">
          <cell r="A315">
            <v>1724395738455</v>
          </cell>
          <cell r="B315">
            <v>6.65</v>
          </cell>
          <cell r="C315">
            <v>60</v>
          </cell>
        </row>
        <row r="316">
          <cell r="A316">
            <v>1745493393156</v>
          </cell>
          <cell r="B316">
            <v>3.05</v>
          </cell>
          <cell r="C316">
            <v>35</v>
          </cell>
        </row>
        <row r="317">
          <cell r="A317">
            <v>1726202434966</v>
          </cell>
          <cell r="B317">
            <v>11.15</v>
          </cell>
          <cell r="C317">
            <v>115</v>
          </cell>
        </row>
        <row r="318">
          <cell r="A318">
            <v>1726474262619</v>
          </cell>
          <cell r="B318">
            <v>3.76</v>
          </cell>
          <cell r="C318">
            <v>40</v>
          </cell>
        </row>
        <row r="319">
          <cell r="A319">
            <v>1729677323678</v>
          </cell>
          <cell r="B319">
            <v>4.71</v>
          </cell>
          <cell r="C319">
            <v>50</v>
          </cell>
        </row>
        <row r="320">
          <cell r="A320">
            <v>1744111533183</v>
          </cell>
          <cell r="B320">
            <v>2.81</v>
          </cell>
          <cell r="C320">
            <v>30</v>
          </cell>
        </row>
        <row r="321">
          <cell r="A321">
            <v>1725531964490</v>
          </cell>
          <cell r="B321">
            <v>3.88</v>
          </cell>
          <cell r="C321">
            <v>45</v>
          </cell>
        </row>
        <row r="322">
          <cell r="A322">
            <v>1725871541035</v>
          </cell>
          <cell r="B322">
            <v>18.420000000000002</v>
          </cell>
          <cell r="C322">
            <v>210</v>
          </cell>
        </row>
        <row r="323">
          <cell r="A323">
            <v>1738138737819</v>
          </cell>
          <cell r="B323">
            <v>9.17</v>
          </cell>
          <cell r="C323">
            <v>95</v>
          </cell>
        </row>
        <row r="324">
          <cell r="A324">
            <v>1725430324825</v>
          </cell>
          <cell r="B324">
            <v>1.95</v>
          </cell>
          <cell r="C324">
            <v>30</v>
          </cell>
        </row>
        <row r="325">
          <cell r="A325">
            <v>1724397265880</v>
          </cell>
          <cell r="B325">
            <v>6.27</v>
          </cell>
          <cell r="C325">
            <v>65</v>
          </cell>
        </row>
        <row r="326">
          <cell r="A326">
            <v>1723182731633</v>
          </cell>
          <cell r="B326">
            <v>7.38</v>
          </cell>
          <cell r="C326">
            <v>70</v>
          </cell>
        </row>
        <row r="327">
          <cell r="A327">
            <v>1723802645805</v>
          </cell>
          <cell r="B327">
            <v>9.9499999999999993</v>
          </cell>
          <cell r="C327">
            <v>100</v>
          </cell>
        </row>
        <row r="328">
          <cell r="A328">
            <v>1724129267401</v>
          </cell>
          <cell r="B328">
            <v>16.93</v>
          </cell>
          <cell r="C328">
            <v>170</v>
          </cell>
        </row>
        <row r="329">
          <cell r="A329">
            <v>1728364674094</v>
          </cell>
          <cell r="B329">
            <v>34.700000000000003</v>
          </cell>
          <cell r="C329">
            <v>405</v>
          </cell>
        </row>
        <row r="330">
          <cell r="A330">
            <v>1724317477859</v>
          </cell>
          <cell r="B330">
            <v>16.309999999999999</v>
          </cell>
          <cell r="C330">
            <v>160</v>
          </cell>
        </row>
        <row r="331">
          <cell r="A331">
            <v>627</v>
          </cell>
          <cell r="B331">
            <v>1.74</v>
          </cell>
          <cell r="C331">
            <v>20</v>
          </cell>
        </row>
        <row r="332">
          <cell r="A332">
            <v>1727676681168</v>
          </cell>
          <cell r="B332">
            <v>32.299999999999997</v>
          </cell>
          <cell r="C332">
            <v>360</v>
          </cell>
        </row>
        <row r="333">
          <cell r="A333">
            <v>1727337282117</v>
          </cell>
          <cell r="B333">
            <v>7.65</v>
          </cell>
          <cell r="C333">
            <v>80</v>
          </cell>
        </row>
        <row r="334">
          <cell r="A334">
            <v>1727235995582</v>
          </cell>
          <cell r="B334">
            <v>6.48</v>
          </cell>
          <cell r="C334">
            <v>150</v>
          </cell>
        </row>
        <row r="335">
          <cell r="A335">
            <v>1724397412725</v>
          </cell>
          <cell r="B335">
            <v>11.6</v>
          </cell>
          <cell r="C335">
            <v>165</v>
          </cell>
        </row>
        <row r="336">
          <cell r="A336">
            <v>1723180772296</v>
          </cell>
          <cell r="B336">
            <v>10.8</v>
          </cell>
          <cell r="C336">
            <v>190</v>
          </cell>
        </row>
        <row r="337">
          <cell r="A337">
            <v>1744026448073</v>
          </cell>
          <cell r="B337">
            <v>19.829999999999998</v>
          </cell>
          <cell r="C337">
            <v>200</v>
          </cell>
        </row>
        <row r="338">
          <cell r="A338">
            <v>1724468829258</v>
          </cell>
          <cell r="B338">
            <v>4.5999999999999996</v>
          </cell>
          <cell r="C338">
            <v>45</v>
          </cell>
        </row>
        <row r="339">
          <cell r="A339">
            <v>1724314011525</v>
          </cell>
          <cell r="B339">
            <v>5.26</v>
          </cell>
          <cell r="C339">
            <v>55</v>
          </cell>
        </row>
        <row r="340">
          <cell r="A340">
            <v>1724133856890</v>
          </cell>
          <cell r="B340">
            <v>20.67</v>
          </cell>
          <cell r="C340">
            <v>200</v>
          </cell>
        </row>
        <row r="341">
          <cell r="A341">
            <v>1723020726666</v>
          </cell>
          <cell r="B341">
            <v>1.36</v>
          </cell>
          <cell r="C341">
            <v>45</v>
          </cell>
        </row>
        <row r="342">
          <cell r="A342">
            <v>1744375624671</v>
          </cell>
          <cell r="B342">
            <v>18.22</v>
          </cell>
          <cell r="C342">
            <v>205</v>
          </cell>
        </row>
        <row r="343">
          <cell r="A343">
            <v>1745046285158</v>
          </cell>
          <cell r="B343">
            <v>12.78</v>
          </cell>
          <cell r="C343">
            <v>130</v>
          </cell>
        </row>
        <row r="344">
          <cell r="A344">
            <v>1723802424518</v>
          </cell>
          <cell r="B344">
            <v>9.26</v>
          </cell>
          <cell r="C344">
            <v>95</v>
          </cell>
        </row>
        <row r="345">
          <cell r="A345">
            <v>1723617217855</v>
          </cell>
          <cell r="B345">
            <v>5.51</v>
          </cell>
          <cell r="C345">
            <v>55</v>
          </cell>
        </row>
        <row r="346">
          <cell r="A346">
            <v>1745655591084</v>
          </cell>
          <cell r="B346">
            <v>6.09</v>
          </cell>
          <cell r="C346">
            <v>60</v>
          </cell>
        </row>
        <row r="347">
          <cell r="A347">
            <v>1724130321059</v>
          </cell>
          <cell r="B347">
            <v>9.74</v>
          </cell>
          <cell r="C347">
            <v>95</v>
          </cell>
        </row>
        <row r="348">
          <cell r="A348">
            <v>1724399624579</v>
          </cell>
          <cell r="B348">
            <v>4.08</v>
          </cell>
          <cell r="C348">
            <v>45</v>
          </cell>
        </row>
        <row r="349">
          <cell r="A349">
            <v>1739608441878</v>
          </cell>
          <cell r="B349">
            <v>17.18</v>
          </cell>
          <cell r="C349">
            <v>160</v>
          </cell>
        </row>
        <row r="350">
          <cell r="A350">
            <v>1724314690976</v>
          </cell>
          <cell r="B350">
            <v>7.6</v>
          </cell>
          <cell r="C350">
            <v>80</v>
          </cell>
        </row>
        <row r="351">
          <cell r="A351">
            <v>1745384905687</v>
          </cell>
          <cell r="B351">
            <v>8.82</v>
          </cell>
          <cell r="C351">
            <v>90</v>
          </cell>
        </row>
        <row r="352">
          <cell r="A352">
            <v>1729915070744</v>
          </cell>
          <cell r="B352">
            <v>0.98</v>
          </cell>
          <cell r="C352">
            <v>40</v>
          </cell>
        </row>
        <row r="353">
          <cell r="A353">
            <v>1738911097464</v>
          </cell>
          <cell r="B353">
            <v>8.4</v>
          </cell>
          <cell r="C353">
            <v>85</v>
          </cell>
        </row>
        <row r="354">
          <cell r="A354">
            <v>1728534660431</v>
          </cell>
          <cell r="B354">
            <v>0.88100000000000001</v>
          </cell>
          <cell r="C354">
            <v>10</v>
          </cell>
        </row>
        <row r="355">
          <cell r="A355">
            <v>1727234431388</v>
          </cell>
          <cell r="B355">
            <v>17.43</v>
          </cell>
          <cell r="C355">
            <v>200</v>
          </cell>
        </row>
        <row r="356">
          <cell r="A356">
            <v>1725513930437</v>
          </cell>
          <cell r="B356">
            <v>18.93</v>
          </cell>
          <cell r="C356">
            <v>210</v>
          </cell>
        </row>
        <row r="357">
          <cell r="A357">
            <v>1726030811826</v>
          </cell>
          <cell r="B357">
            <v>5.29</v>
          </cell>
          <cell r="C357">
            <v>50</v>
          </cell>
        </row>
        <row r="358">
          <cell r="A358">
            <v>1725268784818</v>
          </cell>
          <cell r="B358">
            <v>7.09</v>
          </cell>
          <cell r="C358">
            <v>75</v>
          </cell>
        </row>
        <row r="359">
          <cell r="A359">
            <v>1725339798575</v>
          </cell>
          <cell r="B359">
            <v>28.88</v>
          </cell>
          <cell r="C359">
            <v>300</v>
          </cell>
        </row>
        <row r="360">
          <cell r="A360">
            <v>1727340787741</v>
          </cell>
          <cell r="B360">
            <v>45.89</v>
          </cell>
          <cell r="C360">
            <v>480</v>
          </cell>
        </row>
        <row r="361">
          <cell r="A361">
            <v>1726284919075</v>
          </cell>
          <cell r="B361">
            <v>19.100000000000001</v>
          </cell>
          <cell r="C361">
            <v>200</v>
          </cell>
        </row>
        <row r="362">
          <cell r="A362">
            <v>1727681539591</v>
          </cell>
          <cell r="B362">
            <v>16.38</v>
          </cell>
          <cell r="C362">
            <v>155</v>
          </cell>
        </row>
        <row r="363">
          <cell r="A363">
            <v>1728099546172</v>
          </cell>
          <cell r="B363">
            <v>1.54</v>
          </cell>
          <cell r="C363">
            <v>15</v>
          </cell>
        </row>
        <row r="364">
          <cell r="A364">
            <v>1723107418585</v>
          </cell>
          <cell r="B364">
            <v>7.24</v>
          </cell>
          <cell r="C364">
            <v>70</v>
          </cell>
        </row>
        <row r="365">
          <cell r="A365">
            <v>1727756936915</v>
          </cell>
          <cell r="B365">
            <v>8.82</v>
          </cell>
          <cell r="C365">
            <v>90</v>
          </cell>
        </row>
        <row r="366">
          <cell r="A366">
            <v>1728098719816</v>
          </cell>
          <cell r="B366">
            <v>3.69</v>
          </cell>
          <cell r="C366">
            <v>35</v>
          </cell>
        </row>
        <row r="367">
          <cell r="A367">
            <v>1728277656814</v>
          </cell>
          <cell r="B367">
            <v>3.86</v>
          </cell>
          <cell r="C367">
            <v>35</v>
          </cell>
        </row>
        <row r="368">
          <cell r="A368">
            <v>1738993938253</v>
          </cell>
          <cell r="B368">
            <v>10.95</v>
          </cell>
          <cell r="C368">
            <v>105</v>
          </cell>
        </row>
        <row r="369">
          <cell r="A369">
            <v>1723181747110</v>
          </cell>
          <cell r="B369">
            <v>7.11</v>
          </cell>
          <cell r="C369">
            <v>170</v>
          </cell>
        </row>
        <row r="370">
          <cell r="A370">
            <v>1723106799715</v>
          </cell>
          <cell r="B370">
            <v>3.37</v>
          </cell>
          <cell r="C370">
            <v>30</v>
          </cell>
        </row>
        <row r="371">
          <cell r="A371">
            <v>1727925819854</v>
          </cell>
          <cell r="B371">
            <v>1.5</v>
          </cell>
          <cell r="C371">
            <v>15</v>
          </cell>
        </row>
        <row r="372">
          <cell r="A372">
            <v>1726644256877</v>
          </cell>
          <cell r="B372">
            <v>6.29</v>
          </cell>
          <cell r="C372">
            <v>60</v>
          </cell>
        </row>
        <row r="373">
          <cell r="A373">
            <v>1744438964423</v>
          </cell>
          <cell r="B373">
            <v>6.61</v>
          </cell>
          <cell r="C373">
            <v>75</v>
          </cell>
        </row>
        <row r="374">
          <cell r="A374">
            <v>1727777880129</v>
          </cell>
          <cell r="B374">
            <v>8.7799999999999994</v>
          </cell>
          <cell r="C374">
            <v>95</v>
          </cell>
        </row>
        <row r="375">
          <cell r="A375">
            <v>1724317061255</v>
          </cell>
          <cell r="B375">
            <v>7.61</v>
          </cell>
          <cell r="C375">
            <v>80</v>
          </cell>
        </row>
        <row r="376">
          <cell r="A376">
            <v>1729661582339</v>
          </cell>
          <cell r="B376">
            <v>8.9700000000000006</v>
          </cell>
          <cell r="C376">
            <v>100</v>
          </cell>
        </row>
        <row r="377">
          <cell r="A377">
            <v>1729922012893</v>
          </cell>
          <cell r="B377">
            <v>3.45</v>
          </cell>
          <cell r="C377">
            <v>35</v>
          </cell>
        </row>
        <row r="378">
          <cell r="A378">
            <v>1726731263757</v>
          </cell>
          <cell r="B378">
            <v>5.01</v>
          </cell>
          <cell r="C378">
            <v>55</v>
          </cell>
        </row>
        <row r="379">
          <cell r="A379">
            <v>1726027687486</v>
          </cell>
          <cell r="B379">
            <v>14.68</v>
          </cell>
          <cell r="C379">
            <v>150</v>
          </cell>
        </row>
        <row r="380">
          <cell r="A380">
            <v>1744173886994</v>
          </cell>
          <cell r="B380">
            <v>23.26</v>
          </cell>
          <cell r="C380">
            <v>240</v>
          </cell>
        </row>
        <row r="381">
          <cell r="A381">
            <v>1726468460454</v>
          </cell>
          <cell r="B381">
            <v>18.77</v>
          </cell>
          <cell r="C381">
            <v>185</v>
          </cell>
        </row>
        <row r="382">
          <cell r="A382">
            <v>1725428129745</v>
          </cell>
          <cell r="B382">
            <v>6.52</v>
          </cell>
          <cell r="C382">
            <v>65</v>
          </cell>
        </row>
        <row r="383">
          <cell r="A383">
            <v>1729833406162</v>
          </cell>
          <cell r="B383">
            <v>41.75</v>
          </cell>
          <cell r="C383">
            <v>425</v>
          </cell>
        </row>
        <row r="384">
          <cell r="A384">
            <v>1727677944784</v>
          </cell>
          <cell r="B384">
            <v>11.63</v>
          </cell>
          <cell r="C384">
            <v>125</v>
          </cell>
        </row>
        <row r="385">
          <cell r="A385">
            <v>1728363916867</v>
          </cell>
          <cell r="B385">
            <v>1.52</v>
          </cell>
          <cell r="C385">
            <v>15</v>
          </cell>
        </row>
        <row r="386">
          <cell r="A386">
            <v>1725687665800</v>
          </cell>
          <cell r="B386">
            <v>0.99</v>
          </cell>
          <cell r="C386">
            <v>30</v>
          </cell>
        </row>
        <row r="387">
          <cell r="A387">
            <v>1746017574385</v>
          </cell>
          <cell r="B387">
            <v>17.25</v>
          </cell>
          <cell r="C387">
            <v>200</v>
          </cell>
        </row>
        <row r="388">
          <cell r="A388">
            <v>1732512966663</v>
          </cell>
          <cell r="B388">
            <v>1.61</v>
          </cell>
          <cell r="C388">
            <v>50</v>
          </cell>
        </row>
        <row r="389">
          <cell r="A389">
            <v>1726726713613</v>
          </cell>
          <cell r="B389">
            <v>11.29</v>
          </cell>
          <cell r="C389">
            <v>125</v>
          </cell>
        </row>
        <row r="390">
          <cell r="A390">
            <v>1729484513712</v>
          </cell>
          <cell r="B390">
            <v>15</v>
          </cell>
          <cell r="C390">
            <v>150</v>
          </cell>
        </row>
        <row r="391">
          <cell r="A391">
            <v>1730096386092</v>
          </cell>
          <cell r="B391">
            <v>3.7</v>
          </cell>
          <cell r="C391">
            <v>40</v>
          </cell>
        </row>
        <row r="392">
          <cell r="A392">
            <v>1729677567022</v>
          </cell>
          <cell r="B392">
            <v>5.09</v>
          </cell>
          <cell r="C392">
            <v>60</v>
          </cell>
        </row>
        <row r="393">
          <cell r="A393">
            <v>1724214334880</v>
          </cell>
          <cell r="B393">
            <v>16.04</v>
          </cell>
          <cell r="C393">
            <v>170</v>
          </cell>
        </row>
        <row r="394">
          <cell r="A394">
            <v>2387</v>
          </cell>
          <cell r="B394">
            <v>21.27</v>
          </cell>
          <cell r="C394">
            <v>235</v>
          </cell>
        </row>
        <row r="395">
          <cell r="A395">
            <v>1714115621093</v>
          </cell>
          <cell r="B395">
            <v>0.9</v>
          </cell>
          <cell r="C395">
            <v>10</v>
          </cell>
        </row>
        <row r="396">
          <cell r="A396">
            <v>1725340252724</v>
          </cell>
          <cell r="B396">
            <v>10.5</v>
          </cell>
          <cell r="C396">
            <v>125</v>
          </cell>
        </row>
        <row r="397">
          <cell r="A397">
            <v>1714114932499</v>
          </cell>
          <cell r="B397">
            <v>1.87</v>
          </cell>
          <cell r="C397">
            <v>20</v>
          </cell>
        </row>
        <row r="398">
          <cell r="A398">
            <v>1714640523085</v>
          </cell>
          <cell r="B398">
            <v>4.93</v>
          </cell>
          <cell r="C398">
            <v>70</v>
          </cell>
        </row>
        <row r="399">
          <cell r="A399">
            <v>1744806706433</v>
          </cell>
          <cell r="B399">
            <v>6.1</v>
          </cell>
          <cell r="C399">
            <v>85</v>
          </cell>
        </row>
        <row r="400">
          <cell r="A400">
            <v>1712578233105</v>
          </cell>
          <cell r="B400">
            <v>2.98</v>
          </cell>
          <cell r="C400">
            <v>30</v>
          </cell>
        </row>
        <row r="401">
          <cell r="A401">
            <v>1745492757510</v>
          </cell>
          <cell r="B401">
            <v>4</v>
          </cell>
          <cell r="C401">
            <v>40</v>
          </cell>
        </row>
        <row r="402">
          <cell r="A402">
            <v>1744982212139</v>
          </cell>
          <cell r="B402">
            <v>8.7899999999999991</v>
          </cell>
          <cell r="C402">
            <v>90</v>
          </cell>
        </row>
        <row r="403">
          <cell r="A403">
            <v>1712746090022</v>
          </cell>
          <cell r="B403">
            <v>1.49</v>
          </cell>
          <cell r="C403">
            <v>15</v>
          </cell>
        </row>
        <row r="404">
          <cell r="A404">
            <v>1716801621763</v>
          </cell>
          <cell r="B404">
            <v>0.44</v>
          </cell>
          <cell r="C404">
            <v>5</v>
          </cell>
        </row>
        <row r="405">
          <cell r="A405">
            <v>1746586054643</v>
          </cell>
          <cell r="B405">
            <v>0.89</v>
          </cell>
          <cell r="C405">
            <v>10</v>
          </cell>
        </row>
        <row r="406">
          <cell r="A406">
            <v>1746531423678</v>
          </cell>
          <cell r="B406">
            <v>3.82</v>
          </cell>
          <cell r="C406">
            <v>40</v>
          </cell>
        </row>
        <row r="407">
          <cell r="A407">
            <v>1745928596253</v>
          </cell>
          <cell r="B407">
            <v>5.98</v>
          </cell>
          <cell r="C407">
            <v>65</v>
          </cell>
        </row>
        <row r="408">
          <cell r="A408">
            <v>1745930656608</v>
          </cell>
          <cell r="B408">
            <v>1.64</v>
          </cell>
          <cell r="C408">
            <v>20</v>
          </cell>
        </row>
        <row r="409">
          <cell r="A409">
            <v>1715141184341</v>
          </cell>
          <cell r="B409">
            <v>1.44</v>
          </cell>
          <cell r="C409">
            <v>15</v>
          </cell>
        </row>
        <row r="410">
          <cell r="A410">
            <v>1715748274745</v>
          </cell>
          <cell r="B410">
            <v>1.097</v>
          </cell>
          <cell r="C410">
            <v>30</v>
          </cell>
        </row>
        <row r="411">
          <cell r="A411">
            <v>1745929506317</v>
          </cell>
          <cell r="B411">
            <v>1.69</v>
          </cell>
          <cell r="C411">
            <v>20</v>
          </cell>
        </row>
        <row r="412">
          <cell r="A412">
            <v>1715147480984</v>
          </cell>
          <cell r="B412">
            <v>3.069</v>
          </cell>
          <cell r="C412">
            <v>85</v>
          </cell>
        </row>
        <row r="413">
          <cell r="A413">
            <v>1745488530747</v>
          </cell>
          <cell r="B413">
            <v>1.57</v>
          </cell>
          <cell r="C413">
            <v>20</v>
          </cell>
        </row>
        <row r="414">
          <cell r="A414">
            <v>1744793731237</v>
          </cell>
          <cell r="B414">
            <v>2.75</v>
          </cell>
          <cell r="C414">
            <v>30</v>
          </cell>
        </row>
        <row r="415">
          <cell r="A415">
            <v>1745413400926</v>
          </cell>
          <cell r="B415">
            <v>4.3899999999999997</v>
          </cell>
          <cell r="C415">
            <v>45</v>
          </cell>
        </row>
        <row r="416">
          <cell r="A416">
            <v>1745411530903</v>
          </cell>
          <cell r="B416">
            <v>1.75</v>
          </cell>
          <cell r="C416">
            <v>20</v>
          </cell>
        </row>
        <row r="417">
          <cell r="A417">
            <v>1745912894815</v>
          </cell>
          <cell r="B417">
            <v>4.25</v>
          </cell>
          <cell r="C417">
            <v>40</v>
          </cell>
        </row>
        <row r="418">
          <cell r="A418">
            <v>1746193413267</v>
          </cell>
          <cell r="B418">
            <v>1.51</v>
          </cell>
          <cell r="C418">
            <v>15</v>
          </cell>
        </row>
        <row r="419">
          <cell r="A419">
            <v>1712579132318</v>
          </cell>
          <cell r="B419">
            <v>0.82799999999999996</v>
          </cell>
          <cell r="C419">
            <v>25</v>
          </cell>
        </row>
        <row r="420">
          <cell r="A420">
            <v>1745921969272</v>
          </cell>
          <cell r="B420">
            <v>1.84</v>
          </cell>
          <cell r="C420">
            <v>20</v>
          </cell>
        </row>
        <row r="421">
          <cell r="A421">
            <v>1714717699609</v>
          </cell>
          <cell r="B421">
            <v>0.71199999999999997</v>
          </cell>
          <cell r="C421">
            <v>25</v>
          </cell>
        </row>
        <row r="422">
          <cell r="A422">
            <v>1744817840651</v>
          </cell>
          <cell r="B422">
            <v>4.16</v>
          </cell>
          <cell r="C422">
            <v>40</v>
          </cell>
        </row>
        <row r="423">
          <cell r="A423">
            <v>1712578294060</v>
          </cell>
          <cell r="B423">
            <v>0.40500000000000003</v>
          </cell>
          <cell r="C423">
            <v>25</v>
          </cell>
        </row>
        <row r="424">
          <cell r="A424">
            <v>1714793370904</v>
          </cell>
          <cell r="B424">
            <v>3.0219999999999998</v>
          </cell>
          <cell r="C424">
            <v>70</v>
          </cell>
        </row>
        <row r="425">
          <cell r="A425">
            <v>1712578428281</v>
          </cell>
          <cell r="B425">
            <v>1.659</v>
          </cell>
          <cell r="C425">
            <v>55</v>
          </cell>
        </row>
        <row r="426">
          <cell r="A426">
            <v>1716435396869</v>
          </cell>
          <cell r="B426">
            <v>1.472</v>
          </cell>
          <cell r="C426">
            <v>40</v>
          </cell>
        </row>
        <row r="427">
          <cell r="A427">
            <v>1744983951562</v>
          </cell>
          <cell r="B427">
            <v>3.16</v>
          </cell>
          <cell r="C427">
            <v>35</v>
          </cell>
        </row>
        <row r="428">
          <cell r="A428">
            <v>1715144592413</v>
          </cell>
          <cell r="B428">
            <v>3.4929999999999999</v>
          </cell>
          <cell r="C428">
            <v>40</v>
          </cell>
        </row>
        <row r="429">
          <cell r="A429">
            <v>1746790088918</v>
          </cell>
          <cell r="B429">
            <v>5.63</v>
          </cell>
          <cell r="C429">
            <v>60</v>
          </cell>
        </row>
        <row r="430">
          <cell r="A430">
            <v>1745919931214</v>
          </cell>
          <cell r="B430">
            <v>1.44</v>
          </cell>
          <cell r="C430">
            <v>15</v>
          </cell>
        </row>
        <row r="431">
          <cell r="A431">
            <v>1743743834770</v>
          </cell>
          <cell r="B431">
            <v>1.9</v>
          </cell>
          <cell r="C431">
            <v>25</v>
          </cell>
        </row>
        <row r="432">
          <cell r="A432">
            <v>1743408789309</v>
          </cell>
          <cell r="B432">
            <v>5.5</v>
          </cell>
          <cell r="C432">
            <v>65</v>
          </cell>
        </row>
        <row r="433">
          <cell r="A433">
            <v>1742810024682</v>
          </cell>
          <cell r="B433">
            <v>1.76</v>
          </cell>
          <cell r="C433">
            <v>20</v>
          </cell>
        </row>
        <row r="434">
          <cell r="A434">
            <v>1743223218419</v>
          </cell>
          <cell r="B434">
            <v>1.08</v>
          </cell>
          <cell r="C434">
            <v>10</v>
          </cell>
        </row>
        <row r="435">
          <cell r="A435">
            <v>1730270441204</v>
          </cell>
          <cell r="B435">
            <v>11.15</v>
          </cell>
          <cell r="C435">
            <v>110</v>
          </cell>
        </row>
        <row r="436">
          <cell r="A436">
            <v>1730195272434</v>
          </cell>
          <cell r="B436">
            <v>4.09</v>
          </cell>
          <cell r="C436">
            <v>60</v>
          </cell>
        </row>
        <row r="437">
          <cell r="A437">
            <v>1747283434726</v>
          </cell>
          <cell r="B437">
            <v>14.48</v>
          </cell>
          <cell r="C437">
            <v>150</v>
          </cell>
        </row>
        <row r="438">
          <cell r="A438">
            <v>1743828908197</v>
          </cell>
          <cell r="B438">
            <v>6.38</v>
          </cell>
          <cell r="C438">
            <v>65</v>
          </cell>
        </row>
        <row r="439">
          <cell r="A439">
            <v>1742369317767</v>
          </cell>
          <cell r="B439">
            <v>10.45</v>
          </cell>
          <cell r="C439">
            <v>120</v>
          </cell>
        </row>
        <row r="440">
          <cell r="A440">
            <v>1740228556440</v>
          </cell>
          <cell r="B440">
            <v>4.05</v>
          </cell>
          <cell r="C440">
            <v>50</v>
          </cell>
        </row>
        <row r="441">
          <cell r="A441">
            <v>1716185982975</v>
          </cell>
          <cell r="B441">
            <v>9.17</v>
          </cell>
          <cell r="C441">
            <v>100</v>
          </cell>
        </row>
        <row r="442">
          <cell r="A442">
            <v>1738052594193</v>
          </cell>
          <cell r="B442">
            <v>1.08</v>
          </cell>
          <cell r="C442">
            <v>20</v>
          </cell>
        </row>
        <row r="443">
          <cell r="A443">
            <v>1740126852486</v>
          </cell>
          <cell r="B443">
            <v>5.48</v>
          </cell>
          <cell r="C443">
            <v>60</v>
          </cell>
        </row>
        <row r="444">
          <cell r="A444">
            <v>1738918432920</v>
          </cell>
          <cell r="B444">
            <v>2.31</v>
          </cell>
          <cell r="C444">
            <v>45</v>
          </cell>
        </row>
        <row r="445">
          <cell r="A445">
            <v>1740038103840</v>
          </cell>
          <cell r="B445">
            <v>6.87</v>
          </cell>
          <cell r="C445">
            <v>60</v>
          </cell>
        </row>
        <row r="446">
          <cell r="A446">
            <v>1738049884543</v>
          </cell>
          <cell r="B446">
            <v>1.61</v>
          </cell>
          <cell r="C446">
            <v>20</v>
          </cell>
        </row>
        <row r="447">
          <cell r="A447">
            <v>1738993664659</v>
          </cell>
          <cell r="B447">
            <v>4.05</v>
          </cell>
          <cell r="C447">
            <v>45</v>
          </cell>
        </row>
        <row r="448">
          <cell r="A448">
            <v>1739599239308</v>
          </cell>
          <cell r="B448">
            <v>1.35</v>
          </cell>
          <cell r="C448">
            <v>25</v>
          </cell>
        </row>
        <row r="449">
          <cell r="A449">
            <v>1738051920371</v>
          </cell>
          <cell r="B449">
            <v>3.17</v>
          </cell>
          <cell r="C449">
            <v>35</v>
          </cell>
        </row>
        <row r="450">
          <cell r="A450">
            <v>1740031833350</v>
          </cell>
          <cell r="B450">
            <v>8.66</v>
          </cell>
          <cell r="C450">
            <v>105</v>
          </cell>
        </row>
        <row r="451">
          <cell r="A451">
            <v>1738819055022</v>
          </cell>
          <cell r="B451">
            <v>4.3</v>
          </cell>
          <cell r="C451">
            <v>50</v>
          </cell>
        </row>
        <row r="452">
          <cell r="A452">
            <v>1740987067555</v>
          </cell>
          <cell r="B452">
            <v>2.14</v>
          </cell>
          <cell r="C452">
            <v>30</v>
          </cell>
        </row>
        <row r="453">
          <cell r="A453">
            <v>1739949467307</v>
          </cell>
          <cell r="B453">
            <v>1.45</v>
          </cell>
          <cell r="C453">
            <v>25</v>
          </cell>
        </row>
        <row r="454">
          <cell r="A454">
            <v>1740126494335</v>
          </cell>
          <cell r="B454">
            <v>0.89</v>
          </cell>
          <cell r="C454">
            <v>15</v>
          </cell>
        </row>
        <row r="455">
          <cell r="A455">
            <v>1741429975735</v>
          </cell>
          <cell r="B455">
            <v>2.14</v>
          </cell>
          <cell r="C455">
            <v>30</v>
          </cell>
        </row>
        <row r="456">
          <cell r="A456">
            <v>1741686546850</v>
          </cell>
          <cell r="B456">
            <v>1.73</v>
          </cell>
          <cell r="C456">
            <v>30</v>
          </cell>
        </row>
        <row r="457">
          <cell r="A457">
            <v>1746854841698</v>
          </cell>
          <cell r="B457">
            <v>6.66</v>
          </cell>
          <cell r="C457">
            <v>80</v>
          </cell>
        </row>
        <row r="458">
          <cell r="A458">
            <v>1747649412309</v>
          </cell>
          <cell r="B458">
            <v>8.0299999999999994</v>
          </cell>
          <cell r="C458">
            <v>85</v>
          </cell>
        </row>
        <row r="459">
          <cell r="A459">
            <v>1747025829152</v>
          </cell>
          <cell r="B459">
            <v>14.7</v>
          </cell>
          <cell r="C459">
            <v>155</v>
          </cell>
        </row>
        <row r="460">
          <cell r="A460">
            <v>1723182404932</v>
          </cell>
          <cell r="B460">
            <v>4.5</v>
          </cell>
          <cell r="C460">
            <v>50</v>
          </cell>
        </row>
        <row r="461">
          <cell r="A461">
            <v>1747199649742</v>
          </cell>
          <cell r="B461">
            <v>8.76</v>
          </cell>
          <cell r="C461">
            <v>100</v>
          </cell>
        </row>
        <row r="462">
          <cell r="A462">
            <v>1747629087305</v>
          </cell>
          <cell r="B462">
            <v>9.8800000000000008</v>
          </cell>
          <cell r="C462">
            <v>115</v>
          </cell>
        </row>
        <row r="463">
          <cell r="A463">
            <v>1742369079045</v>
          </cell>
          <cell r="B463">
            <v>1.24</v>
          </cell>
          <cell r="C463">
            <v>15</v>
          </cell>
        </row>
        <row r="464">
          <cell r="A464">
            <v>1738050116938</v>
          </cell>
          <cell r="B464">
            <v>8.9</v>
          </cell>
          <cell r="C464">
            <v>110</v>
          </cell>
        </row>
        <row r="465">
          <cell r="A465">
            <v>1747313773517</v>
          </cell>
          <cell r="B465">
            <v>1.77</v>
          </cell>
          <cell r="C465">
            <v>20</v>
          </cell>
        </row>
        <row r="466">
          <cell r="A466">
            <v>1747198921053</v>
          </cell>
          <cell r="B466">
            <v>5.4</v>
          </cell>
          <cell r="C466">
            <v>60</v>
          </cell>
        </row>
        <row r="467">
          <cell r="A467">
            <v>1747646741309</v>
          </cell>
          <cell r="B467">
            <v>4.9000000000000004</v>
          </cell>
          <cell r="C467">
            <v>60</v>
          </cell>
        </row>
        <row r="468">
          <cell r="A468">
            <v>1747284052054</v>
          </cell>
          <cell r="B468">
            <v>9.1199999999999992</v>
          </cell>
          <cell r="C468">
            <v>90</v>
          </cell>
        </row>
        <row r="469">
          <cell r="A469">
            <v>1714393628567</v>
          </cell>
          <cell r="B469">
            <v>10.71</v>
          </cell>
          <cell r="C469">
            <v>110</v>
          </cell>
        </row>
        <row r="470">
          <cell r="A470">
            <v>1747728962030</v>
          </cell>
          <cell r="B470">
            <v>0.96</v>
          </cell>
          <cell r="C470">
            <v>10</v>
          </cell>
        </row>
        <row r="471">
          <cell r="A471">
            <v>1747305832194</v>
          </cell>
          <cell r="B471">
            <v>1.51</v>
          </cell>
          <cell r="C471">
            <v>20</v>
          </cell>
        </row>
        <row r="472">
          <cell r="A472">
            <v>1747313109461</v>
          </cell>
          <cell r="B472">
            <v>6.98</v>
          </cell>
          <cell r="C472">
            <v>75</v>
          </cell>
        </row>
        <row r="473">
          <cell r="A473">
            <v>1747213417086</v>
          </cell>
          <cell r="B473">
            <v>7</v>
          </cell>
          <cell r="C473">
            <v>70</v>
          </cell>
        </row>
        <row r="474">
          <cell r="A474">
            <v>1747900191408</v>
          </cell>
          <cell r="B474">
            <v>4.91</v>
          </cell>
          <cell r="C474">
            <v>55</v>
          </cell>
        </row>
        <row r="475">
          <cell r="A475">
            <v>1738739230541</v>
          </cell>
          <cell r="B475">
            <v>0.74</v>
          </cell>
          <cell r="C475">
            <v>20</v>
          </cell>
        </row>
        <row r="476">
          <cell r="A476">
            <v>1738052066292</v>
          </cell>
          <cell r="B476">
            <v>2.0299999999999998</v>
          </cell>
          <cell r="C476">
            <v>40</v>
          </cell>
        </row>
        <row r="477">
          <cell r="A477">
            <v>1738052695488</v>
          </cell>
          <cell r="B477">
            <v>3.02</v>
          </cell>
          <cell r="C477">
            <v>30</v>
          </cell>
        </row>
        <row r="478">
          <cell r="A478">
            <v>1738909941206</v>
          </cell>
          <cell r="B478">
            <v>4.13</v>
          </cell>
          <cell r="C478">
            <v>40</v>
          </cell>
        </row>
        <row r="479">
          <cell r="A479">
            <v>1740647144379</v>
          </cell>
          <cell r="B479">
            <v>0.8</v>
          </cell>
          <cell r="C479">
            <v>20</v>
          </cell>
        </row>
        <row r="480">
          <cell r="A480">
            <v>1740488723328</v>
          </cell>
          <cell r="B480">
            <v>2.81</v>
          </cell>
          <cell r="C480">
            <v>45</v>
          </cell>
        </row>
        <row r="481">
          <cell r="A481">
            <v>1746793312407</v>
          </cell>
          <cell r="B481">
            <v>13.46</v>
          </cell>
          <cell r="C481">
            <v>140</v>
          </cell>
        </row>
        <row r="482">
          <cell r="A482">
            <v>1740651738282</v>
          </cell>
          <cell r="B482">
            <v>2.65</v>
          </cell>
          <cell r="C482">
            <v>35</v>
          </cell>
        </row>
        <row r="483">
          <cell r="A483">
            <v>1739865566492</v>
          </cell>
          <cell r="B483">
            <v>15.83</v>
          </cell>
          <cell r="C483">
            <v>160</v>
          </cell>
        </row>
        <row r="484">
          <cell r="A484">
            <v>1739949612618</v>
          </cell>
          <cell r="B484">
            <v>2.08</v>
          </cell>
          <cell r="C484">
            <v>20</v>
          </cell>
        </row>
        <row r="485">
          <cell r="A485">
            <v>1741333808291</v>
          </cell>
          <cell r="B485">
            <v>1.87</v>
          </cell>
          <cell r="C485">
            <v>20</v>
          </cell>
        </row>
        <row r="486">
          <cell r="A486">
            <v>1741240624901</v>
          </cell>
          <cell r="B486">
            <v>2.54</v>
          </cell>
          <cell r="C486">
            <v>30</v>
          </cell>
        </row>
        <row r="487">
          <cell r="A487">
            <v>1739955884527</v>
          </cell>
          <cell r="B487">
            <v>2.69</v>
          </cell>
          <cell r="C487">
            <v>25</v>
          </cell>
        </row>
        <row r="488">
          <cell r="A488">
            <v>1740993930538</v>
          </cell>
          <cell r="B488">
            <v>5.49</v>
          </cell>
          <cell r="C488">
            <v>60</v>
          </cell>
        </row>
        <row r="489">
          <cell r="A489">
            <v>1741584891621</v>
          </cell>
          <cell r="B489">
            <v>4.42</v>
          </cell>
          <cell r="C489">
            <v>55</v>
          </cell>
        </row>
        <row r="490">
          <cell r="A490">
            <v>1739949657686</v>
          </cell>
          <cell r="B490">
            <v>0.26</v>
          </cell>
          <cell r="C490">
            <v>15</v>
          </cell>
        </row>
        <row r="491">
          <cell r="A491">
            <v>1741337136337</v>
          </cell>
          <cell r="B491">
            <v>3.24</v>
          </cell>
          <cell r="C491">
            <v>30</v>
          </cell>
        </row>
        <row r="492">
          <cell r="A492">
            <v>1741674163093</v>
          </cell>
          <cell r="B492">
            <v>5.16</v>
          </cell>
          <cell r="C492">
            <v>50</v>
          </cell>
        </row>
        <row r="493">
          <cell r="A493">
            <v>1739254258265</v>
          </cell>
          <cell r="B493">
            <v>2.69</v>
          </cell>
          <cell r="C493">
            <v>30</v>
          </cell>
        </row>
        <row r="494">
          <cell r="A494">
            <v>1743595756690</v>
          </cell>
          <cell r="B494">
            <v>5.56</v>
          </cell>
          <cell r="C494">
            <v>60</v>
          </cell>
        </row>
        <row r="495">
          <cell r="A495">
            <v>1745908416375</v>
          </cell>
          <cell r="B495">
            <v>8.19</v>
          </cell>
          <cell r="C495">
            <v>80</v>
          </cell>
        </row>
        <row r="496">
          <cell r="A496">
            <v>1738051161412</v>
          </cell>
          <cell r="B496">
            <v>8.14</v>
          </cell>
          <cell r="C496">
            <v>90</v>
          </cell>
        </row>
        <row r="497">
          <cell r="A497">
            <v>1726550618565</v>
          </cell>
          <cell r="B497">
            <v>5.47</v>
          </cell>
          <cell r="C497">
            <v>85</v>
          </cell>
        </row>
        <row r="498">
          <cell r="A498">
            <v>1738050692344</v>
          </cell>
          <cell r="B498">
            <v>1.57</v>
          </cell>
          <cell r="C498">
            <v>40</v>
          </cell>
        </row>
        <row r="499">
          <cell r="A499">
            <v>1739426289096</v>
          </cell>
          <cell r="B499">
            <v>0.86</v>
          </cell>
          <cell r="C499">
            <v>25</v>
          </cell>
        </row>
        <row r="500">
          <cell r="A500">
            <v>1738051925480</v>
          </cell>
          <cell r="B500">
            <v>8.43</v>
          </cell>
          <cell r="C500">
            <v>115</v>
          </cell>
        </row>
        <row r="501">
          <cell r="A501">
            <v>1738052043600</v>
          </cell>
          <cell r="B501">
            <v>4.32</v>
          </cell>
          <cell r="C501">
            <v>50</v>
          </cell>
        </row>
        <row r="502">
          <cell r="A502">
            <v>1739516260823</v>
          </cell>
          <cell r="B502">
            <v>3.83</v>
          </cell>
          <cell r="C502">
            <v>80</v>
          </cell>
        </row>
        <row r="503">
          <cell r="A503">
            <v>1740481347416</v>
          </cell>
          <cell r="B503">
            <v>4.2699999999999996</v>
          </cell>
          <cell r="C503">
            <v>40</v>
          </cell>
        </row>
        <row r="504">
          <cell r="A504">
            <v>1728364267828</v>
          </cell>
          <cell r="B504">
            <v>16.41</v>
          </cell>
          <cell r="C504">
            <v>220</v>
          </cell>
        </row>
        <row r="505">
          <cell r="A505">
            <v>1711695790489</v>
          </cell>
          <cell r="B505">
            <v>1.5</v>
          </cell>
          <cell r="C505">
            <v>25</v>
          </cell>
        </row>
        <row r="506">
          <cell r="A506">
            <v>1712226261636</v>
          </cell>
          <cell r="B506">
            <v>22.22</v>
          </cell>
          <cell r="C506">
            <v>245</v>
          </cell>
        </row>
        <row r="507">
          <cell r="A507">
            <v>1728363777611</v>
          </cell>
          <cell r="B507">
            <v>20.91</v>
          </cell>
          <cell r="C507">
            <v>220</v>
          </cell>
        </row>
        <row r="508">
          <cell r="A508">
            <v>1744441432337</v>
          </cell>
          <cell r="B508">
            <v>1.05</v>
          </cell>
          <cell r="C508">
            <v>15</v>
          </cell>
        </row>
        <row r="509">
          <cell r="A509">
            <v>1745217464842</v>
          </cell>
          <cell r="B509">
            <v>2.62</v>
          </cell>
          <cell r="C509">
            <v>40</v>
          </cell>
        </row>
        <row r="510">
          <cell r="A510">
            <v>1747114226621</v>
          </cell>
          <cell r="B510">
            <v>1.34</v>
          </cell>
          <cell r="C510">
            <v>15</v>
          </cell>
        </row>
        <row r="511">
          <cell r="A511">
            <v>1745638306908</v>
          </cell>
          <cell r="B511">
            <v>24.16</v>
          </cell>
          <cell r="C511">
            <v>305</v>
          </cell>
        </row>
        <row r="512">
          <cell r="A512">
            <v>1745042876165</v>
          </cell>
          <cell r="B512">
            <v>4.38</v>
          </cell>
          <cell r="C512">
            <v>60</v>
          </cell>
        </row>
        <row r="513">
          <cell r="A513">
            <v>1739785138764</v>
          </cell>
          <cell r="B513">
            <v>3.79</v>
          </cell>
          <cell r="C513">
            <v>65</v>
          </cell>
        </row>
        <row r="514">
          <cell r="A514">
            <v>1746853959358</v>
          </cell>
          <cell r="B514">
            <v>13.02</v>
          </cell>
          <cell r="C514">
            <v>140</v>
          </cell>
        </row>
        <row r="515">
          <cell r="A515">
            <v>1744864694046</v>
          </cell>
          <cell r="B515">
            <v>18.84</v>
          </cell>
          <cell r="C515">
            <v>220</v>
          </cell>
        </row>
        <row r="516">
          <cell r="A516">
            <v>1747480898159</v>
          </cell>
          <cell r="B516">
            <v>1.76</v>
          </cell>
          <cell r="C516">
            <v>20</v>
          </cell>
        </row>
        <row r="517">
          <cell r="A517">
            <v>1738921631305</v>
          </cell>
          <cell r="B517">
            <v>3.28</v>
          </cell>
          <cell r="C517">
            <v>40</v>
          </cell>
        </row>
        <row r="518">
          <cell r="A518">
            <v>1747462313975</v>
          </cell>
          <cell r="B518">
            <v>7.22</v>
          </cell>
          <cell r="C518">
            <v>80</v>
          </cell>
        </row>
        <row r="519">
          <cell r="A519">
            <v>1744619563344</v>
          </cell>
          <cell r="B519">
            <v>9.58</v>
          </cell>
          <cell r="C519">
            <v>90</v>
          </cell>
        </row>
        <row r="520">
          <cell r="A520">
            <v>1745554670456</v>
          </cell>
          <cell r="B520">
            <v>14.62</v>
          </cell>
          <cell r="C520">
            <v>160</v>
          </cell>
        </row>
        <row r="521">
          <cell r="A521">
            <v>1743603598881</v>
          </cell>
          <cell r="B521">
            <v>6.08</v>
          </cell>
          <cell r="C521">
            <v>60</v>
          </cell>
        </row>
        <row r="522">
          <cell r="A522">
            <v>1744261716805</v>
          </cell>
          <cell r="B522">
            <v>3.16</v>
          </cell>
          <cell r="C522">
            <v>30</v>
          </cell>
        </row>
        <row r="523">
          <cell r="A523">
            <v>1743605672840</v>
          </cell>
          <cell r="B523">
            <v>7.13</v>
          </cell>
          <cell r="C523">
            <v>85</v>
          </cell>
        </row>
        <row r="524">
          <cell r="A524">
            <v>1743603935246</v>
          </cell>
          <cell r="B524">
            <v>6.19</v>
          </cell>
          <cell r="C524">
            <v>75</v>
          </cell>
        </row>
        <row r="525">
          <cell r="A525">
            <v>1743603772429</v>
          </cell>
          <cell r="B525">
            <v>19.77</v>
          </cell>
          <cell r="C525">
            <v>225</v>
          </cell>
        </row>
        <row r="526">
          <cell r="A526">
            <v>1741758338966</v>
          </cell>
          <cell r="B526">
            <v>3.19</v>
          </cell>
          <cell r="C526">
            <v>35</v>
          </cell>
        </row>
        <row r="527">
          <cell r="A527">
            <v>1739952410733</v>
          </cell>
          <cell r="B527">
            <v>1.02</v>
          </cell>
          <cell r="C527">
            <v>20</v>
          </cell>
        </row>
        <row r="528">
          <cell r="A528">
            <v>1741845476703</v>
          </cell>
          <cell r="B528">
            <v>1.32</v>
          </cell>
          <cell r="C528">
            <v>15</v>
          </cell>
        </row>
        <row r="529">
          <cell r="A529">
            <v>1747376457678</v>
          </cell>
          <cell r="B529">
            <v>10.130000000000001</v>
          </cell>
          <cell r="C529">
            <v>105</v>
          </cell>
        </row>
        <row r="530">
          <cell r="A530">
            <v>1712208626616</v>
          </cell>
          <cell r="B530">
            <v>5.81</v>
          </cell>
          <cell r="C530">
            <v>60</v>
          </cell>
        </row>
        <row r="531">
          <cell r="A531">
            <v>1747231174570</v>
          </cell>
          <cell r="B531">
            <v>3.65</v>
          </cell>
          <cell r="C531">
            <v>40</v>
          </cell>
        </row>
        <row r="532">
          <cell r="A532">
            <v>1747744456017</v>
          </cell>
          <cell r="B532">
            <v>1.99</v>
          </cell>
          <cell r="C532">
            <v>20</v>
          </cell>
        </row>
        <row r="533">
          <cell r="A533">
            <v>1747199400570</v>
          </cell>
          <cell r="B533">
            <v>5.32</v>
          </cell>
          <cell r="C533">
            <v>55</v>
          </cell>
        </row>
        <row r="534">
          <cell r="A534">
            <v>1741760705095</v>
          </cell>
          <cell r="B534">
            <v>5.15</v>
          </cell>
          <cell r="C534">
            <v>55</v>
          </cell>
        </row>
        <row r="535">
          <cell r="A535">
            <v>1741072961518</v>
          </cell>
          <cell r="B535">
            <v>1.78</v>
          </cell>
          <cell r="C535">
            <v>30</v>
          </cell>
        </row>
        <row r="536">
          <cell r="A536">
            <v>1741415211239</v>
          </cell>
          <cell r="B536">
            <v>3.26</v>
          </cell>
          <cell r="C536">
            <v>50</v>
          </cell>
        </row>
        <row r="537">
          <cell r="A537">
            <v>1739949479491</v>
          </cell>
          <cell r="B537">
            <v>1.1599999999999999</v>
          </cell>
          <cell r="C537">
            <v>15</v>
          </cell>
        </row>
        <row r="538">
          <cell r="A538">
            <v>1741336038882</v>
          </cell>
          <cell r="B538">
            <v>3.35</v>
          </cell>
          <cell r="C538">
            <v>35</v>
          </cell>
        </row>
        <row r="539">
          <cell r="A539">
            <v>1741069748181</v>
          </cell>
          <cell r="B539">
            <v>4.24</v>
          </cell>
          <cell r="C539">
            <v>85</v>
          </cell>
        </row>
        <row r="540">
          <cell r="A540">
            <v>1741072739999</v>
          </cell>
          <cell r="B540">
            <v>3.49</v>
          </cell>
          <cell r="C540">
            <v>40</v>
          </cell>
        </row>
        <row r="541">
          <cell r="A541">
            <v>1741335998565</v>
          </cell>
          <cell r="B541">
            <v>1.71</v>
          </cell>
          <cell r="C541">
            <v>20</v>
          </cell>
        </row>
        <row r="542">
          <cell r="A542">
            <v>1741240489825</v>
          </cell>
          <cell r="B542">
            <v>2.61</v>
          </cell>
          <cell r="C542">
            <v>60</v>
          </cell>
        </row>
        <row r="543">
          <cell r="A543">
            <v>1739956436274</v>
          </cell>
          <cell r="B543">
            <v>4.25</v>
          </cell>
          <cell r="C543">
            <v>50</v>
          </cell>
        </row>
        <row r="544">
          <cell r="A544">
            <v>1747119772034</v>
          </cell>
          <cell r="B544">
            <v>3.7</v>
          </cell>
          <cell r="C544">
            <v>40</v>
          </cell>
        </row>
        <row r="545">
          <cell r="A545">
            <v>1747729506224</v>
          </cell>
          <cell r="B545">
            <v>10.14</v>
          </cell>
          <cell r="C545">
            <v>100</v>
          </cell>
        </row>
        <row r="546">
          <cell r="A546">
            <v>1747040177306</v>
          </cell>
          <cell r="B546">
            <v>2.7</v>
          </cell>
          <cell r="C546">
            <v>30</v>
          </cell>
        </row>
        <row r="547">
          <cell r="A547">
            <v>1747740839687</v>
          </cell>
          <cell r="B547">
            <v>9.92</v>
          </cell>
          <cell r="C547">
            <v>95</v>
          </cell>
        </row>
        <row r="548">
          <cell r="A548">
            <v>1747115831713</v>
          </cell>
          <cell r="B548">
            <v>6.27</v>
          </cell>
          <cell r="C548">
            <v>65</v>
          </cell>
        </row>
        <row r="549">
          <cell r="A549">
            <v>1731911489678</v>
          </cell>
          <cell r="B549">
            <v>0.82</v>
          </cell>
          <cell r="C549">
            <v>10</v>
          </cell>
        </row>
        <row r="550">
          <cell r="A550">
            <v>1741421124881</v>
          </cell>
          <cell r="B550">
            <v>1.77</v>
          </cell>
          <cell r="C550">
            <v>20</v>
          </cell>
        </row>
        <row r="551">
          <cell r="A551">
            <v>1741328717415</v>
          </cell>
          <cell r="B551">
            <v>3.19</v>
          </cell>
          <cell r="C551">
            <v>45</v>
          </cell>
        </row>
        <row r="552">
          <cell r="A552">
            <v>1739953805448</v>
          </cell>
          <cell r="B552">
            <v>1.61</v>
          </cell>
          <cell r="C552">
            <v>15</v>
          </cell>
        </row>
        <row r="553">
          <cell r="A553">
            <v>1742020585723</v>
          </cell>
          <cell r="B553">
            <v>11.89</v>
          </cell>
          <cell r="C553">
            <v>185</v>
          </cell>
        </row>
        <row r="554">
          <cell r="A554">
            <v>1712208849106</v>
          </cell>
          <cell r="B554">
            <v>3.02</v>
          </cell>
          <cell r="C554">
            <v>30</v>
          </cell>
        </row>
        <row r="555">
          <cell r="A555">
            <v>1747731061828</v>
          </cell>
          <cell r="B555">
            <v>4.8</v>
          </cell>
          <cell r="C555">
            <v>50</v>
          </cell>
        </row>
        <row r="556">
          <cell r="A556">
            <v>1741065130255</v>
          </cell>
          <cell r="B556">
            <v>4.1399999999999997</v>
          </cell>
          <cell r="C556">
            <v>45</v>
          </cell>
        </row>
        <row r="557">
          <cell r="A557">
            <v>1740813891242</v>
          </cell>
          <cell r="B557">
            <v>3.44</v>
          </cell>
          <cell r="C557">
            <v>60</v>
          </cell>
        </row>
        <row r="558">
          <cell r="A558">
            <v>1741768969220</v>
          </cell>
          <cell r="B558">
            <v>1.1000000000000001</v>
          </cell>
          <cell r="C558">
            <v>25</v>
          </cell>
        </row>
        <row r="559">
          <cell r="A559">
            <v>1746428395232</v>
          </cell>
          <cell r="B559">
            <v>5.63</v>
          </cell>
          <cell r="C559">
            <v>60</v>
          </cell>
        </row>
        <row r="560">
          <cell r="A560">
            <v>1747393162897</v>
          </cell>
          <cell r="B560">
            <v>7.43</v>
          </cell>
          <cell r="C560">
            <v>80</v>
          </cell>
        </row>
        <row r="561">
          <cell r="A561">
            <v>1747130504173</v>
          </cell>
          <cell r="B561">
            <v>6.62</v>
          </cell>
          <cell r="C561">
            <v>65</v>
          </cell>
        </row>
        <row r="562">
          <cell r="A562">
            <v>1746797023038</v>
          </cell>
          <cell r="B562">
            <v>10.81</v>
          </cell>
          <cell r="C562">
            <v>120</v>
          </cell>
        </row>
        <row r="563">
          <cell r="A563">
            <v>1747050894040</v>
          </cell>
          <cell r="B563">
            <v>7.31</v>
          </cell>
          <cell r="C563">
            <v>75</v>
          </cell>
        </row>
        <row r="564">
          <cell r="A564">
            <v>1747122312663</v>
          </cell>
          <cell r="B564">
            <v>4.07</v>
          </cell>
          <cell r="C564">
            <v>40</v>
          </cell>
        </row>
        <row r="565">
          <cell r="A565">
            <v>1747822058750</v>
          </cell>
          <cell r="B565">
            <v>3.26</v>
          </cell>
          <cell r="C565">
            <v>35</v>
          </cell>
        </row>
        <row r="566">
          <cell r="A566">
            <v>1747117073734</v>
          </cell>
          <cell r="B566">
            <v>9.24</v>
          </cell>
          <cell r="C566">
            <v>100</v>
          </cell>
        </row>
        <row r="567">
          <cell r="A567">
            <v>1739953408780</v>
          </cell>
          <cell r="B567">
            <v>2.06</v>
          </cell>
          <cell r="C567">
            <v>25</v>
          </cell>
        </row>
        <row r="568">
          <cell r="A568">
            <v>1728453955381</v>
          </cell>
          <cell r="B568">
            <v>6.97</v>
          </cell>
          <cell r="C568">
            <v>75</v>
          </cell>
        </row>
        <row r="569">
          <cell r="A569">
            <v>1746421557096</v>
          </cell>
          <cell r="B569">
            <v>6.98</v>
          </cell>
          <cell r="C569">
            <v>70</v>
          </cell>
        </row>
        <row r="570">
          <cell r="A570">
            <v>1729575520634</v>
          </cell>
          <cell r="B570">
            <v>3.62</v>
          </cell>
          <cell r="C570">
            <v>40</v>
          </cell>
        </row>
        <row r="571">
          <cell r="A571">
            <v>1746524854997</v>
          </cell>
          <cell r="B571">
            <v>5.31</v>
          </cell>
          <cell r="C571">
            <v>60</v>
          </cell>
        </row>
        <row r="572">
          <cell r="A572">
            <v>1728454044514</v>
          </cell>
          <cell r="B572">
            <v>7.68</v>
          </cell>
          <cell r="C572">
            <v>75</v>
          </cell>
        </row>
        <row r="573">
          <cell r="A573">
            <v>1746431762461</v>
          </cell>
          <cell r="B573">
            <v>4.1500000000000004</v>
          </cell>
          <cell r="C573">
            <v>40</v>
          </cell>
        </row>
        <row r="574">
          <cell r="A574">
            <v>1727248958171</v>
          </cell>
          <cell r="B574">
            <v>11.78</v>
          </cell>
          <cell r="C574">
            <v>125</v>
          </cell>
        </row>
        <row r="575">
          <cell r="A575">
            <v>1728454104898</v>
          </cell>
          <cell r="B575">
            <v>3.29</v>
          </cell>
          <cell r="C575">
            <v>50</v>
          </cell>
        </row>
        <row r="576">
          <cell r="A576">
            <v>1745913298094</v>
          </cell>
          <cell r="B576">
            <v>4.8600000000000003</v>
          </cell>
          <cell r="C576">
            <v>50</v>
          </cell>
        </row>
        <row r="577">
          <cell r="A577">
            <v>1743605486450</v>
          </cell>
          <cell r="B577">
            <v>9.7899999999999991</v>
          </cell>
          <cell r="C577">
            <v>100</v>
          </cell>
        </row>
        <row r="578">
          <cell r="A578">
            <v>1746180168141</v>
          </cell>
          <cell r="B578">
            <v>11.31</v>
          </cell>
          <cell r="C578">
            <v>115</v>
          </cell>
        </row>
        <row r="579">
          <cell r="A579">
            <v>1726906486575</v>
          </cell>
          <cell r="B579">
            <v>7.34</v>
          </cell>
          <cell r="C579">
            <v>80</v>
          </cell>
        </row>
        <row r="580">
          <cell r="A580">
            <v>1745415362534</v>
          </cell>
          <cell r="B580">
            <v>13.58</v>
          </cell>
          <cell r="C580">
            <v>130</v>
          </cell>
        </row>
        <row r="581">
          <cell r="A581">
            <v>1745916250683</v>
          </cell>
          <cell r="B581">
            <v>2.75</v>
          </cell>
          <cell r="C581">
            <v>30</v>
          </cell>
        </row>
        <row r="582">
          <cell r="A582">
            <v>1745298734451</v>
          </cell>
          <cell r="B582">
            <v>9.9700000000000006</v>
          </cell>
          <cell r="C582">
            <v>110</v>
          </cell>
        </row>
        <row r="583">
          <cell r="A583">
            <v>1744101525712</v>
          </cell>
          <cell r="B583">
            <v>7.97</v>
          </cell>
          <cell r="C583">
            <v>80</v>
          </cell>
        </row>
        <row r="584">
          <cell r="A584">
            <v>1745397992005</v>
          </cell>
          <cell r="B584">
            <v>3.07</v>
          </cell>
          <cell r="C584">
            <v>30</v>
          </cell>
        </row>
        <row r="585">
          <cell r="A585">
            <v>1748410421216</v>
          </cell>
          <cell r="B585">
            <v>1.58</v>
          </cell>
          <cell r="C585">
            <v>20</v>
          </cell>
        </row>
        <row r="586">
          <cell r="A586">
            <v>1748666965614</v>
          </cell>
          <cell r="B586">
            <v>8.2200000000000006</v>
          </cell>
          <cell r="C586">
            <v>85</v>
          </cell>
        </row>
        <row r="587">
          <cell r="A587">
            <v>1748581397651</v>
          </cell>
          <cell r="B587">
            <v>0.92</v>
          </cell>
          <cell r="C587">
            <v>10</v>
          </cell>
        </row>
        <row r="588">
          <cell r="A588">
            <v>1748317215459</v>
          </cell>
          <cell r="B588">
            <v>4.8899999999999997</v>
          </cell>
          <cell r="C588">
            <v>50</v>
          </cell>
        </row>
        <row r="589">
          <cell r="A589">
            <v>1748404530191</v>
          </cell>
          <cell r="B589">
            <v>16.559999999999999</v>
          </cell>
          <cell r="C589">
            <v>170</v>
          </cell>
        </row>
        <row r="590">
          <cell r="A590">
            <v>1749275449014</v>
          </cell>
          <cell r="B590">
            <v>3.56</v>
          </cell>
          <cell r="C590">
            <v>40</v>
          </cell>
        </row>
        <row r="591">
          <cell r="A591">
            <v>1736577902371</v>
          </cell>
          <cell r="B591">
            <v>2.67</v>
          </cell>
          <cell r="C591">
            <v>35</v>
          </cell>
        </row>
        <row r="592">
          <cell r="A592">
            <v>1713764441063</v>
          </cell>
          <cell r="B592">
            <v>5.71</v>
          </cell>
          <cell r="C592">
            <v>65</v>
          </cell>
        </row>
        <row r="593">
          <cell r="A593">
            <v>1713758976579</v>
          </cell>
          <cell r="B593">
            <v>3.5</v>
          </cell>
          <cell r="C593">
            <v>25</v>
          </cell>
        </row>
        <row r="594">
          <cell r="A594">
            <v>1726555256509</v>
          </cell>
          <cell r="B594">
            <v>13.98</v>
          </cell>
          <cell r="C594">
            <v>135</v>
          </cell>
        </row>
        <row r="595">
          <cell r="A595">
            <v>1713767181168</v>
          </cell>
          <cell r="B595">
            <v>11.61</v>
          </cell>
          <cell r="C595">
            <v>105</v>
          </cell>
        </row>
        <row r="596">
          <cell r="A596">
            <v>1714542727452</v>
          </cell>
          <cell r="B596">
            <v>4.66</v>
          </cell>
          <cell r="C596">
            <v>55</v>
          </cell>
        </row>
        <row r="597">
          <cell r="A597">
            <v>1737098958306</v>
          </cell>
          <cell r="B597">
            <v>1.31</v>
          </cell>
          <cell r="C597">
            <v>15</v>
          </cell>
        </row>
        <row r="598">
          <cell r="A598">
            <v>1713758732876</v>
          </cell>
          <cell r="B598">
            <v>1.1200000000000001</v>
          </cell>
          <cell r="C598">
            <v>15</v>
          </cell>
        </row>
        <row r="599">
          <cell r="A599">
            <v>1713759194876</v>
          </cell>
          <cell r="B599">
            <v>2.7</v>
          </cell>
          <cell r="C599">
            <v>30</v>
          </cell>
        </row>
        <row r="600">
          <cell r="A600">
            <v>1736585247326</v>
          </cell>
          <cell r="B600">
            <v>1.2</v>
          </cell>
          <cell r="C600">
            <v>15</v>
          </cell>
        </row>
        <row r="601">
          <cell r="A601">
            <v>1714193629642</v>
          </cell>
          <cell r="B601">
            <v>1.4</v>
          </cell>
          <cell r="C601">
            <v>15</v>
          </cell>
        </row>
        <row r="602">
          <cell r="A602">
            <v>1736746684680</v>
          </cell>
          <cell r="B602">
            <v>0.99</v>
          </cell>
          <cell r="C602">
            <v>15</v>
          </cell>
        </row>
        <row r="603">
          <cell r="A603">
            <v>1714541453546</v>
          </cell>
          <cell r="B603">
            <v>1.79</v>
          </cell>
          <cell r="C603">
            <v>20</v>
          </cell>
        </row>
        <row r="604">
          <cell r="A604">
            <v>1714196387001</v>
          </cell>
          <cell r="B604">
            <v>18.72</v>
          </cell>
          <cell r="C604">
            <v>195</v>
          </cell>
        </row>
        <row r="605">
          <cell r="A605">
            <v>1726732520081</v>
          </cell>
          <cell r="B605">
            <v>1.44</v>
          </cell>
          <cell r="C605">
            <v>20</v>
          </cell>
        </row>
        <row r="606">
          <cell r="A606">
            <v>1712571803274</v>
          </cell>
          <cell r="B606">
            <v>1.84</v>
          </cell>
          <cell r="C606">
            <v>20</v>
          </cell>
        </row>
        <row r="607">
          <cell r="A607">
            <v>1737270400464</v>
          </cell>
          <cell r="B607">
            <v>3.72</v>
          </cell>
          <cell r="C607">
            <v>45</v>
          </cell>
        </row>
        <row r="608">
          <cell r="A608">
            <v>1712571711828</v>
          </cell>
          <cell r="B608">
            <v>5.31</v>
          </cell>
          <cell r="C608">
            <v>55</v>
          </cell>
        </row>
        <row r="609">
          <cell r="A609">
            <v>1713767788000</v>
          </cell>
          <cell r="B609">
            <v>2.15</v>
          </cell>
          <cell r="C609">
            <v>30</v>
          </cell>
        </row>
        <row r="610">
          <cell r="A610">
            <v>1713006816820</v>
          </cell>
          <cell r="B610">
            <v>2.93</v>
          </cell>
          <cell r="C610">
            <v>30</v>
          </cell>
        </row>
        <row r="611">
          <cell r="A611">
            <v>1712571860419</v>
          </cell>
          <cell r="B611">
            <v>4.18</v>
          </cell>
          <cell r="C611">
            <v>40</v>
          </cell>
        </row>
        <row r="612">
          <cell r="A612">
            <v>1714630758621</v>
          </cell>
          <cell r="B612">
            <v>7.18</v>
          </cell>
          <cell r="C612">
            <v>65</v>
          </cell>
        </row>
        <row r="613">
          <cell r="A613">
            <v>1714623878758</v>
          </cell>
          <cell r="B613">
            <v>1.84</v>
          </cell>
          <cell r="C613">
            <v>25</v>
          </cell>
        </row>
        <row r="614">
          <cell r="A614">
            <v>1714644035389</v>
          </cell>
          <cell r="B614">
            <v>1.04</v>
          </cell>
          <cell r="C614">
            <v>10</v>
          </cell>
        </row>
        <row r="615">
          <cell r="A615">
            <v>1736149558973</v>
          </cell>
          <cell r="B615">
            <v>2.0499999999999998</v>
          </cell>
          <cell r="C615">
            <v>20</v>
          </cell>
        </row>
        <row r="616">
          <cell r="A616">
            <v>1712661309586</v>
          </cell>
          <cell r="B616">
            <v>1.34</v>
          </cell>
          <cell r="C616">
            <v>15</v>
          </cell>
        </row>
        <row r="617">
          <cell r="A617">
            <v>1737614750653</v>
          </cell>
          <cell r="B617">
            <v>5.67</v>
          </cell>
          <cell r="C617">
            <v>105</v>
          </cell>
        </row>
        <row r="618">
          <cell r="A618">
            <v>1737362258496</v>
          </cell>
          <cell r="B618">
            <v>9.3000000000000007</v>
          </cell>
          <cell r="C618">
            <v>100</v>
          </cell>
        </row>
        <row r="619">
          <cell r="A619">
            <v>1714643324527</v>
          </cell>
          <cell r="B619">
            <v>6.69</v>
          </cell>
          <cell r="C619">
            <v>60</v>
          </cell>
        </row>
        <row r="620">
          <cell r="A620">
            <v>1736314685840</v>
          </cell>
          <cell r="B620">
            <v>0.2</v>
          </cell>
          <cell r="C620">
            <v>5</v>
          </cell>
        </row>
        <row r="621">
          <cell r="A621">
            <v>1726731922579</v>
          </cell>
          <cell r="B621">
            <v>5.95</v>
          </cell>
          <cell r="C621">
            <v>150</v>
          </cell>
        </row>
        <row r="622">
          <cell r="A622">
            <v>1712571628309</v>
          </cell>
          <cell r="B622">
            <v>3.55</v>
          </cell>
          <cell r="C622">
            <v>45</v>
          </cell>
        </row>
        <row r="623">
          <cell r="A623">
            <v>1747213409614</v>
          </cell>
          <cell r="B623">
            <v>3.42</v>
          </cell>
          <cell r="C623">
            <v>50</v>
          </cell>
        </row>
        <row r="624">
          <cell r="A624">
            <v>1729569403038</v>
          </cell>
          <cell r="B624">
            <v>3.94</v>
          </cell>
          <cell r="C624">
            <v>50</v>
          </cell>
        </row>
        <row r="625">
          <cell r="A625">
            <v>1715578237342</v>
          </cell>
          <cell r="B625">
            <v>4.2699999999999996</v>
          </cell>
          <cell r="C625">
            <v>50</v>
          </cell>
        </row>
        <row r="626">
          <cell r="A626">
            <v>1726731786727</v>
          </cell>
          <cell r="B626">
            <v>2.63</v>
          </cell>
          <cell r="C626">
            <v>60</v>
          </cell>
        </row>
        <row r="627">
          <cell r="A627">
            <v>1747213298587</v>
          </cell>
          <cell r="B627">
            <v>4.78</v>
          </cell>
          <cell r="C627">
            <v>50</v>
          </cell>
        </row>
        <row r="628">
          <cell r="A628">
            <v>1747297386536</v>
          </cell>
          <cell r="B628">
            <v>5.78</v>
          </cell>
          <cell r="C628">
            <v>65</v>
          </cell>
        </row>
        <row r="629">
          <cell r="A629">
            <v>1747643909798</v>
          </cell>
          <cell r="B629">
            <v>5.13</v>
          </cell>
          <cell r="C629">
            <v>60</v>
          </cell>
        </row>
        <row r="630">
          <cell r="A630">
            <v>1726732635350</v>
          </cell>
          <cell r="B630">
            <v>5.56</v>
          </cell>
          <cell r="C630">
            <v>60</v>
          </cell>
        </row>
        <row r="631">
          <cell r="A631">
            <v>1712572014987</v>
          </cell>
          <cell r="B631">
            <v>9.68</v>
          </cell>
          <cell r="C631">
            <v>100</v>
          </cell>
        </row>
        <row r="632">
          <cell r="A632">
            <v>1712571062712</v>
          </cell>
          <cell r="B632">
            <v>3.53</v>
          </cell>
          <cell r="C632">
            <v>30</v>
          </cell>
        </row>
        <row r="633">
          <cell r="A633">
            <v>1747461420823</v>
          </cell>
          <cell r="B633">
            <v>4.49</v>
          </cell>
          <cell r="C633">
            <v>55</v>
          </cell>
        </row>
        <row r="634">
          <cell r="A634">
            <v>1737277130638</v>
          </cell>
          <cell r="B634">
            <v>4.55</v>
          </cell>
          <cell r="C634">
            <v>50</v>
          </cell>
        </row>
        <row r="635">
          <cell r="A635">
            <v>1743761644195</v>
          </cell>
          <cell r="B635">
            <v>5.25</v>
          </cell>
          <cell r="C635">
            <v>60</v>
          </cell>
        </row>
        <row r="636">
          <cell r="A636">
            <v>1744866998988</v>
          </cell>
          <cell r="B636">
            <v>8.1</v>
          </cell>
          <cell r="C636">
            <v>95</v>
          </cell>
        </row>
        <row r="637">
          <cell r="A637">
            <v>1745474935548</v>
          </cell>
          <cell r="B637">
            <v>8.8000000000000007</v>
          </cell>
          <cell r="C637">
            <v>115</v>
          </cell>
        </row>
        <row r="638">
          <cell r="A638">
            <v>1743825683839</v>
          </cell>
          <cell r="B638">
            <v>7.05</v>
          </cell>
          <cell r="C638">
            <v>95</v>
          </cell>
        </row>
        <row r="639">
          <cell r="A639">
            <v>1744431940040</v>
          </cell>
          <cell r="B639">
            <v>4.62</v>
          </cell>
          <cell r="C639">
            <v>50</v>
          </cell>
        </row>
        <row r="640">
          <cell r="A640">
            <v>1723268869383</v>
          </cell>
          <cell r="B640">
            <v>2.83</v>
          </cell>
          <cell r="C640">
            <v>35</v>
          </cell>
        </row>
        <row r="641">
          <cell r="A641">
            <v>1743827647778</v>
          </cell>
          <cell r="B641">
            <v>4.82</v>
          </cell>
          <cell r="C641">
            <v>50</v>
          </cell>
        </row>
        <row r="642">
          <cell r="A642">
            <v>1746429773835</v>
          </cell>
          <cell r="B642">
            <v>12.71</v>
          </cell>
          <cell r="C642">
            <v>150</v>
          </cell>
        </row>
        <row r="643">
          <cell r="A643">
            <v>1743837087715</v>
          </cell>
          <cell r="B643">
            <v>1.64</v>
          </cell>
          <cell r="C643">
            <v>15</v>
          </cell>
        </row>
        <row r="644">
          <cell r="A644">
            <v>1744865547501</v>
          </cell>
          <cell r="B644">
            <v>6.84</v>
          </cell>
          <cell r="C644">
            <v>65</v>
          </cell>
        </row>
        <row r="645">
          <cell r="A645">
            <v>1726732693622</v>
          </cell>
          <cell r="B645">
            <v>3.02</v>
          </cell>
          <cell r="C645">
            <v>50</v>
          </cell>
        </row>
        <row r="646">
          <cell r="A646">
            <v>1747293339187</v>
          </cell>
          <cell r="B646">
            <v>5.0999999999999996</v>
          </cell>
          <cell r="C646">
            <v>65</v>
          </cell>
        </row>
        <row r="647">
          <cell r="A647">
            <v>1747294677209</v>
          </cell>
          <cell r="B647">
            <v>6.83</v>
          </cell>
          <cell r="C647">
            <v>80</v>
          </cell>
        </row>
        <row r="648">
          <cell r="A648">
            <v>1747636003955</v>
          </cell>
          <cell r="B648">
            <v>2.4700000000000002</v>
          </cell>
          <cell r="C648">
            <v>30</v>
          </cell>
        </row>
        <row r="649">
          <cell r="A649">
            <v>1748068969594</v>
          </cell>
          <cell r="B649">
            <v>11.94</v>
          </cell>
          <cell r="C649">
            <v>120</v>
          </cell>
        </row>
        <row r="650">
          <cell r="A650">
            <v>1730703382309</v>
          </cell>
          <cell r="B650">
            <v>0.81</v>
          </cell>
          <cell r="C650">
            <v>20</v>
          </cell>
        </row>
        <row r="651">
          <cell r="A651">
            <v>1747123346002</v>
          </cell>
          <cell r="B651">
            <v>8.82</v>
          </cell>
          <cell r="C651">
            <v>120</v>
          </cell>
        </row>
        <row r="652">
          <cell r="A652">
            <v>1727073145569</v>
          </cell>
          <cell r="B652">
            <v>17.7</v>
          </cell>
          <cell r="C652">
            <v>190</v>
          </cell>
        </row>
        <row r="653">
          <cell r="A653">
            <v>1747806453791</v>
          </cell>
          <cell r="B653">
            <v>7.73</v>
          </cell>
          <cell r="C653">
            <v>85</v>
          </cell>
        </row>
        <row r="654">
          <cell r="A654">
            <v>1747380417212</v>
          </cell>
          <cell r="B654">
            <v>6.88</v>
          </cell>
          <cell r="C654">
            <v>85</v>
          </cell>
        </row>
        <row r="655">
          <cell r="A655">
            <v>1732345093529</v>
          </cell>
          <cell r="B655">
            <v>3.47</v>
          </cell>
          <cell r="C655">
            <v>50</v>
          </cell>
        </row>
        <row r="656">
          <cell r="A656">
            <v>1747381013424</v>
          </cell>
          <cell r="B656">
            <v>6.25</v>
          </cell>
          <cell r="C656">
            <v>75</v>
          </cell>
        </row>
        <row r="657">
          <cell r="A657">
            <v>1726732836903</v>
          </cell>
          <cell r="B657">
            <v>5.92</v>
          </cell>
          <cell r="C657">
            <v>75</v>
          </cell>
        </row>
        <row r="658">
          <cell r="A658">
            <v>1726732602729</v>
          </cell>
          <cell r="B658">
            <v>4.83</v>
          </cell>
          <cell r="C658">
            <v>85</v>
          </cell>
        </row>
        <row r="659">
          <cell r="A659">
            <v>1747731692170</v>
          </cell>
          <cell r="B659">
            <v>2.67</v>
          </cell>
          <cell r="C659">
            <v>30</v>
          </cell>
        </row>
        <row r="660">
          <cell r="A660">
            <v>1747637899578</v>
          </cell>
          <cell r="B660">
            <v>9.1999999999999993</v>
          </cell>
          <cell r="C660">
            <v>100</v>
          </cell>
        </row>
        <row r="661">
          <cell r="A661">
            <v>1726732732997</v>
          </cell>
          <cell r="B661">
            <v>1.31</v>
          </cell>
          <cell r="C661">
            <v>35</v>
          </cell>
        </row>
        <row r="662">
          <cell r="A662">
            <v>1726731678861</v>
          </cell>
          <cell r="B662">
            <v>3.85</v>
          </cell>
          <cell r="C662">
            <v>55</v>
          </cell>
        </row>
        <row r="663">
          <cell r="A663">
            <v>1745564445422</v>
          </cell>
          <cell r="B663">
            <v>2.82</v>
          </cell>
          <cell r="C663">
            <v>35</v>
          </cell>
        </row>
        <row r="664">
          <cell r="A664">
            <v>1748587713053</v>
          </cell>
          <cell r="B664">
            <v>5.57</v>
          </cell>
          <cell r="C664">
            <v>55</v>
          </cell>
        </row>
        <row r="665">
          <cell r="A665">
            <v>1749448492276</v>
          </cell>
          <cell r="B665">
            <v>7.71</v>
          </cell>
          <cell r="C665">
            <v>80</v>
          </cell>
        </row>
        <row r="666">
          <cell r="A666">
            <v>1748587879799</v>
          </cell>
          <cell r="B666">
            <v>5.44</v>
          </cell>
          <cell r="C666">
            <v>60</v>
          </cell>
        </row>
        <row r="667">
          <cell r="A667">
            <v>1748586382974</v>
          </cell>
          <cell r="B667">
            <v>22.85</v>
          </cell>
          <cell r="C667">
            <v>235</v>
          </cell>
        </row>
        <row r="668">
          <cell r="A668">
            <v>1748941754893</v>
          </cell>
          <cell r="B668">
            <v>29.31</v>
          </cell>
          <cell r="C668">
            <v>320</v>
          </cell>
        </row>
        <row r="669">
          <cell r="A669">
            <v>1728275779522</v>
          </cell>
          <cell r="B669">
            <v>4.5599999999999996</v>
          </cell>
          <cell r="C669">
            <v>85</v>
          </cell>
        </row>
        <row r="670">
          <cell r="A670">
            <v>1733375928879</v>
          </cell>
          <cell r="B670">
            <v>3.67</v>
          </cell>
          <cell r="C670">
            <v>80</v>
          </cell>
        </row>
        <row r="671">
          <cell r="A671">
            <v>1734694695594</v>
          </cell>
          <cell r="B671">
            <v>1.29</v>
          </cell>
          <cell r="C671">
            <v>25</v>
          </cell>
        </row>
        <row r="672">
          <cell r="A672">
            <v>1732774020644</v>
          </cell>
          <cell r="B672">
            <v>1.26</v>
          </cell>
          <cell r="C672">
            <v>20</v>
          </cell>
        </row>
        <row r="673">
          <cell r="A673">
            <v>1735023831202</v>
          </cell>
          <cell r="B673">
            <v>4.8600000000000003</v>
          </cell>
          <cell r="C673">
            <v>105</v>
          </cell>
        </row>
        <row r="674">
          <cell r="A674">
            <v>1726732269531</v>
          </cell>
          <cell r="B674">
            <v>1.97</v>
          </cell>
          <cell r="C674">
            <v>40</v>
          </cell>
        </row>
        <row r="675">
          <cell r="A675">
            <v>1735376270927</v>
          </cell>
          <cell r="B675">
            <v>2.21</v>
          </cell>
          <cell r="C675">
            <v>45</v>
          </cell>
        </row>
        <row r="676">
          <cell r="A676">
            <v>1747474397613</v>
          </cell>
          <cell r="B676">
            <v>2.04</v>
          </cell>
          <cell r="C676">
            <v>30</v>
          </cell>
        </row>
        <row r="677">
          <cell r="A677">
            <v>1726731931996</v>
          </cell>
          <cell r="B677">
            <v>2.98</v>
          </cell>
          <cell r="C677">
            <v>50</v>
          </cell>
        </row>
        <row r="678">
          <cell r="A678">
            <v>1747641065664</v>
          </cell>
          <cell r="B678">
            <v>5.33</v>
          </cell>
          <cell r="C678">
            <v>65</v>
          </cell>
        </row>
        <row r="679">
          <cell r="A679">
            <v>1733379071787</v>
          </cell>
          <cell r="B679">
            <v>1.64</v>
          </cell>
          <cell r="C679">
            <v>20</v>
          </cell>
        </row>
        <row r="680">
          <cell r="A680">
            <v>1726119009983</v>
          </cell>
          <cell r="B680">
            <v>9.42</v>
          </cell>
          <cell r="C680">
            <v>105</v>
          </cell>
        </row>
        <row r="681">
          <cell r="A681">
            <v>1729656401776</v>
          </cell>
          <cell r="B681">
            <v>7.37</v>
          </cell>
          <cell r="C681">
            <v>90</v>
          </cell>
        </row>
        <row r="682">
          <cell r="A682">
            <v>1744105873592</v>
          </cell>
          <cell r="B682">
            <v>1.49</v>
          </cell>
          <cell r="C682">
            <v>20</v>
          </cell>
        </row>
        <row r="683">
          <cell r="A683">
            <v>1745825622712</v>
          </cell>
          <cell r="B683">
            <v>6.46</v>
          </cell>
          <cell r="C683">
            <v>90</v>
          </cell>
        </row>
        <row r="684">
          <cell r="A684">
            <v>1744096340022</v>
          </cell>
          <cell r="B684">
            <v>8.77</v>
          </cell>
          <cell r="C684">
            <v>105</v>
          </cell>
        </row>
        <row r="685">
          <cell r="A685">
            <v>1745650399584</v>
          </cell>
          <cell r="B685">
            <v>6.05</v>
          </cell>
          <cell r="C685">
            <v>65</v>
          </cell>
        </row>
        <row r="686">
          <cell r="A686">
            <v>1727069736036</v>
          </cell>
          <cell r="B686">
            <v>2.91</v>
          </cell>
          <cell r="C686">
            <v>35</v>
          </cell>
        </row>
        <row r="687">
          <cell r="A687">
            <v>1726473710509</v>
          </cell>
          <cell r="B687">
            <v>5.92</v>
          </cell>
          <cell r="C687">
            <v>90</v>
          </cell>
        </row>
        <row r="688">
          <cell r="A688">
            <v>1744105367060</v>
          </cell>
          <cell r="B688">
            <v>10.11</v>
          </cell>
          <cell r="C688">
            <v>105</v>
          </cell>
        </row>
        <row r="689">
          <cell r="A689">
            <v>1746005641951</v>
          </cell>
          <cell r="B689">
            <v>1.0900000000000001</v>
          </cell>
          <cell r="C689">
            <v>15</v>
          </cell>
        </row>
        <row r="690">
          <cell r="A690">
            <v>1744699235043</v>
          </cell>
          <cell r="B690">
            <v>5.44</v>
          </cell>
          <cell r="C690">
            <v>55</v>
          </cell>
        </row>
        <row r="691">
          <cell r="A691">
            <v>1744865909580</v>
          </cell>
          <cell r="B691">
            <v>5.0199999999999996</v>
          </cell>
          <cell r="C691">
            <v>55</v>
          </cell>
        </row>
        <row r="692">
          <cell r="A692">
            <v>1745395378804</v>
          </cell>
          <cell r="B692">
            <v>1.67</v>
          </cell>
          <cell r="C692">
            <v>20</v>
          </cell>
        </row>
        <row r="693">
          <cell r="A693">
            <v>1749265752013</v>
          </cell>
          <cell r="B693">
            <v>2.5299999999999998</v>
          </cell>
          <cell r="C693">
            <v>30</v>
          </cell>
        </row>
        <row r="694">
          <cell r="A694">
            <v>1749626178716</v>
          </cell>
          <cell r="B694">
            <v>0.93</v>
          </cell>
          <cell r="C694">
            <v>10</v>
          </cell>
        </row>
        <row r="695">
          <cell r="A695">
            <v>1749552828850</v>
          </cell>
          <cell r="B695">
            <v>1.63</v>
          </cell>
          <cell r="C695">
            <v>15</v>
          </cell>
        </row>
        <row r="696">
          <cell r="A696">
            <v>1744351254031</v>
          </cell>
          <cell r="B696">
            <v>22.91</v>
          </cell>
          <cell r="C696">
            <v>255</v>
          </cell>
        </row>
        <row r="697">
          <cell r="A697">
            <v>1748591169831</v>
          </cell>
          <cell r="B697">
            <v>3.48</v>
          </cell>
          <cell r="C697">
            <v>35</v>
          </cell>
        </row>
        <row r="698">
          <cell r="A698">
            <v>1749628604396</v>
          </cell>
          <cell r="B698">
            <v>1.48</v>
          </cell>
          <cell r="C698">
            <v>15</v>
          </cell>
        </row>
        <row r="699">
          <cell r="A699">
            <v>1748586536536</v>
          </cell>
          <cell r="B699">
            <v>1.79</v>
          </cell>
          <cell r="C699">
            <v>25</v>
          </cell>
        </row>
        <row r="700">
          <cell r="A700">
            <v>1739784491395</v>
          </cell>
          <cell r="B700">
            <v>3.55</v>
          </cell>
          <cell r="C700">
            <v>30</v>
          </cell>
        </row>
        <row r="701">
          <cell r="A701">
            <v>1748856560297</v>
          </cell>
          <cell r="B701">
            <v>6</v>
          </cell>
          <cell r="C701">
            <v>60</v>
          </cell>
        </row>
        <row r="702">
          <cell r="A702">
            <v>1747468972356</v>
          </cell>
          <cell r="B702">
            <v>5.91</v>
          </cell>
          <cell r="C702">
            <v>60</v>
          </cell>
        </row>
        <row r="703">
          <cell r="A703">
            <v>1744167104161</v>
          </cell>
          <cell r="B703">
            <v>3.85</v>
          </cell>
          <cell r="C703">
            <v>40</v>
          </cell>
        </row>
        <row r="704">
          <cell r="A704">
            <v>1748672061129</v>
          </cell>
          <cell r="B704">
            <v>3.06</v>
          </cell>
          <cell r="C704">
            <v>40</v>
          </cell>
        </row>
        <row r="705">
          <cell r="A705">
            <v>1748591324512</v>
          </cell>
          <cell r="B705">
            <v>3.49</v>
          </cell>
          <cell r="C705">
            <v>50</v>
          </cell>
        </row>
        <row r="706">
          <cell r="A706">
            <v>1711695828796</v>
          </cell>
          <cell r="B706">
            <v>4.29</v>
          </cell>
          <cell r="C706">
            <v>55</v>
          </cell>
        </row>
        <row r="707">
          <cell r="A707">
            <v>1745391091955</v>
          </cell>
          <cell r="B707">
            <v>3.39</v>
          </cell>
          <cell r="C707">
            <v>40</v>
          </cell>
        </row>
        <row r="708">
          <cell r="A708">
            <v>1712661795822</v>
          </cell>
          <cell r="B708">
            <v>1.89</v>
          </cell>
          <cell r="C708">
            <v>20</v>
          </cell>
        </row>
        <row r="709">
          <cell r="A709">
            <v>1712894193320</v>
          </cell>
          <cell r="B709">
            <v>7.7</v>
          </cell>
          <cell r="C709">
            <v>65</v>
          </cell>
        </row>
        <row r="710">
          <cell r="A710">
            <v>1713766623837</v>
          </cell>
          <cell r="B710">
            <v>3.43</v>
          </cell>
          <cell r="C710">
            <v>40</v>
          </cell>
        </row>
        <row r="711">
          <cell r="A711">
            <v>1712734539099</v>
          </cell>
          <cell r="B711">
            <v>3.19</v>
          </cell>
          <cell r="C711">
            <v>35</v>
          </cell>
        </row>
        <row r="712">
          <cell r="A712">
            <v>1737266779883</v>
          </cell>
          <cell r="B712">
            <v>4.87</v>
          </cell>
          <cell r="C712">
            <v>55</v>
          </cell>
        </row>
        <row r="713">
          <cell r="A713">
            <v>1712661210911</v>
          </cell>
          <cell r="B713">
            <v>4.34</v>
          </cell>
          <cell r="C713">
            <v>55</v>
          </cell>
        </row>
        <row r="714">
          <cell r="A714">
            <v>1712661472404</v>
          </cell>
          <cell r="B714">
            <v>5.88</v>
          </cell>
          <cell r="C714">
            <v>55</v>
          </cell>
        </row>
        <row r="715">
          <cell r="A715">
            <v>1745827131109</v>
          </cell>
          <cell r="B715">
            <v>1.66</v>
          </cell>
          <cell r="C715">
            <v>25</v>
          </cell>
        </row>
        <row r="716">
          <cell r="A716">
            <v>1749805012745</v>
          </cell>
          <cell r="B716">
            <v>7.74</v>
          </cell>
          <cell r="C716">
            <v>75</v>
          </cell>
        </row>
        <row r="717">
          <cell r="A717">
            <v>1749452427059</v>
          </cell>
          <cell r="B717">
            <v>9.41</v>
          </cell>
          <cell r="C717">
            <v>95</v>
          </cell>
        </row>
        <row r="718">
          <cell r="A718">
            <v>1750220279660</v>
          </cell>
          <cell r="B718">
            <v>5.82</v>
          </cell>
          <cell r="C718">
            <v>55</v>
          </cell>
        </row>
        <row r="719">
          <cell r="A719">
            <v>1750220123643</v>
          </cell>
          <cell r="B719">
            <v>5.76</v>
          </cell>
          <cell r="C719">
            <v>55</v>
          </cell>
        </row>
        <row r="720">
          <cell r="A720">
            <v>1749790371099</v>
          </cell>
          <cell r="B720">
            <v>16</v>
          </cell>
          <cell r="C720">
            <v>155</v>
          </cell>
        </row>
        <row r="721">
          <cell r="A721">
            <v>1735385926518</v>
          </cell>
          <cell r="B721">
            <v>9.5500000000000007</v>
          </cell>
          <cell r="C721">
            <v>90</v>
          </cell>
        </row>
        <row r="722">
          <cell r="A722">
            <v>1748754511134</v>
          </cell>
          <cell r="B722">
            <v>4.7</v>
          </cell>
          <cell r="C722">
            <v>50</v>
          </cell>
        </row>
        <row r="723">
          <cell r="A723">
            <v>1749448605580</v>
          </cell>
          <cell r="B723">
            <v>2.13</v>
          </cell>
          <cell r="C723">
            <v>25</v>
          </cell>
        </row>
        <row r="724">
          <cell r="A724">
            <v>1748318530770</v>
          </cell>
          <cell r="B724">
            <v>10.199999999999999</v>
          </cell>
          <cell r="C724">
            <v>105</v>
          </cell>
        </row>
        <row r="725">
          <cell r="A725">
            <v>1748342788464</v>
          </cell>
          <cell r="B725">
            <v>2.4</v>
          </cell>
          <cell r="C725">
            <v>25</v>
          </cell>
        </row>
        <row r="726">
          <cell r="A726">
            <v>1749210096423</v>
          </cell>
          <cell r="B726">
            <v>5.1100000000000003</v>
          </cell>
          <cell r="C726">
            <v>50</v>
          </cell>
        </row>
        <row r="727">
          <cell r="A727">
            <v>1748434852826</v>
          </cell>
          <cell r="B727">
            <v>4.53</v>
          </cell>
          <cell r="C727">
            <v>45</v>
          </cell>
        </row>
        <row r="728">
          <cell r="A728">
            <v>1749213618563</v>
          </cell>
          <cell r="B728">
            <v>2.96</v>
          </cell>
          <cell r="C728">
            <v>30</v>
          </cell>
        </row>
        <row r="729">
          <cell r="A729">
            <v>1748317441822</v>
          </cell>
          <cell r="B729">
            <v>2.44</v>
          </cell>
          <cell r="C729">
            <v>25</v>
          </cell>
        </row>
        <row r="730">
          <cell r="A730">
            <v>1750141841490</v>
          </cell>
          <cell r="B730">
            <v>9.23</v>
          </cell>
          <cell r="C730">
            <v>95</v>
          </cell>
        </row>
        <row r="731">
          <cell r="A731">
            <v>1749447931361</v>
          </cell>
          <cell r="B731">
            <v>9.8000000000000007</v>
          </cell>
          <cell r="C731">
            <v>100</v>
          </cell>
        </row>
        <row r="732">
          <cell r="A732">
            <v>1736747517911</v>
          </cell>
          <cell r="B732">
            <v>9.23</v>
          </cell>
          <cell r="C732">
            <v>100</v>
          </cell>
        </row>
        <row r="733">
          <cell r="A733">
            <v>1714537953016</v>
          </cell>
          <cell r="B733">
            <v>6.22</v>
          </cell>
          <cell r="C733">
            <v>80</v>
          </cell>
        </row>
        <row r="734">
          <cell r="A734">
            <v>1736581620820</v>
          </cell>
          <cell r="B734">
            <v>7.41</v>
          </cell>
          <cell r="C734">
            <v>90</v>
          </cell>
        </row>
        <row r="735">
          <cell r="A735">
            <v>1735978100539</v>
          </cell>
          <cell r="B735">
            <v>4.76</v>
          </cell>
          <cell r="C735">
            <v>55</v>
          </cell>
        </row>
        <row r="736">
          <cell r="A736">
            <v>1736499935819</v>
          </cell>
          <cell r="B736">
            <v>5.86</v>
          </cell>
          <cell r="C736">
            <v>50</v>
          </cell>
        </row>
        <row r="737">
          <cell r="A737">
            <v>1738299292426</v>
          </cell>
          <cell r="B737">
            <v>12.74</v>
          </cell>
          <cell r="C737">
            <v>125</v>
          </cell>
        </row>
        <row r="738">
          <cell r="A738">
            <v>1748314655373</v>
          </cell>
          <cell r="B738">
            <v>15.82</v>
          </cell>
          <cell r="C738">
            <v>170</v>
          </cell>
        </row>
        <row r="739">
          <cell r="A739">
            <v>1748693424940</v>
          </cell>
          <cell r="B739">
            <v>11.78</v>
          </cell>
          <cell r="C739">
            <v>125</v>
          </cell>
        </row>
        <row r="740">
          <cell r="A740">
            <v>1748516669011</v>
          </cell>
          <cell r="B740">
            <v>1.1000000000000001</v>
          </cell>
          <cell r="C740">
            <v>10</v>
          </cell>
        </row>
        <row r="741">
          <cell r="A741">
            <v>1727677525782</v>
          </cell>
          <cell r="B741">
            <v>9.8699999999999992</v>
          </cell>
          <cell r="C741">
            <v>80</v>
          </cell>
        </row>
        <row r="742">
          <cell r="A742">
            <v>1738735570262</v>
          </cell>
          <cell r="B742">
            <v>4.25</v>
          </cell>
          <cell r="C742">
            <v>55</v>
          </cell>
        </row>
        <row r="743">
          <cell r="A743">
            <v>1712571384176</v>
          </cell>
          <cell r="B743">
            <v>6.96</v>
          </cell>
          <cell r="C743">
            <v>65</v>
          </cell>
        </row>
        <row r="744">
          <cell r="A744">
            <v>1739956102153</v>
          </cell>
          <cell r="B744">
            <v>5.1100000000000003</v>
          </cell>
          <cell r="C744">
            <v>55</v>
          </cell>
        </row>
        <row r="745">
          <cell r="A745">
            <v>1733721019866</v>
          </cell>
          <cell r="B745">
            <v>10.58</v>
          </cell>
          <cell r="C745">
            <v>100</v>
          </cell>
        </row>
        <row r="746">
          <cell r="A746">
            <v>1726555126580</v>
          </cell>
          <cell r="B746">
            <v>9.4600000000000009</v>
          </cell>
          <cell r="C746">
            <v>100</v>
          </cell>
        </row>
        <row r="747">
          <cell r="A747">
            <v>1715928719043</v>
          </cell>
          <cell r="B747">
            <v>9.43</v>
          </cell>
          <cell r="C747">
            <v>95</v>
          </cell>
        </row>
        <row r="748">
          <cell r="A748">
            <v>1725519602241</v>
          </cell>
          <cell r="B748">
            <v>2.81</v>
          </cell>
          <cell r="C748">
            <v>75</v>
          </cell>
        </row>
        <row r="749">
          <cell r="A749">
            <v>1749819644146</v>
          </cell>
          <cell r="B749">
            <v>4.74</v>
          </cell>
          <cell r="C749">
            <v>50</v>
          </cell>
        </row>
        <row r="750">
          <cell r="A750">
            <v>1725525791493</v>
          </cell>
          <cell r="B750">
            <v>1.35</v>
          </cell>
          <cell r="C750">
            <v>25</v>
          </cell>
        </row>
        <row r="751">
          <cell r="A751">
            <v>1749713137428</v>
          </cell>
          <cell r="B751">
            <v>1.83</v>
          </cell>
          <cell r="C751">
            <v>20</v>
          </cell>
        </row>
        <row r="752">
          <cell r="A752">
            <v>1714709737320</v>
          </cell>
          <cell r="B752">
            <v>5.51</v>
          </cell>
          <cell r="C752">
            <v>60</v>
          </cell>
        </row>
        <row r="753">
          <cell r="A753">
            <v>1749302937560</v>
          </cell>
          <cell r="B753">
            <v>1.25</v>
          </cell>
          <cell r="C753">
            <v>15</v>
          </cell>
        </row>
        <row r="754">
          <cell r="A754">
            <v>1749636842794</v>
          </cell>
          <cell r="B754">
            <v>3.07</v>
          </cell>
          <cell r="C754">
            <v>35</v>
          </cell>
        </row>
        <row r="755">
          <cell r="A755">
            <v>1748753444229</v>
          </cell>
          <cell r="B755">
            <v>5.94</v>
          </cell>
          <cell r="C755">
            <v>65</v>
          </cell>
        </row>
        <row r="756">
          <cell r="A756">
            <v>1748491889351</v>
          </cell>
          <cell r="B756">
            <v>7.84</v>
          </cell>
          <cell r="C756">
            <v>90</v>
          </cell>
        </row>
        <row r="757">
          <cell r="A757">
            <v>1749448463416</v>
          </cell>
          <cell r="B757">
            <v>2.29</v>
          </cell>
          <cell r="C757">
            <v>25</v>
          </cell>
        </row>
        <row r="758">
          <cell r="A758">
            <v>1748585169654</v>
          </cell>
          <cell r="B758">
            <v>6.64</v>
          </cell>
          <cell r="C758">
            <v>65</v>
          </cell>
        </row>
        <row r="759">
          <cell r="A759">
            <v>1749187699535</v>
          </cell>
          <cell r="B759">
            <v>1.28</v>
          </cell>
          <cell r="C759">
            <v>15</v>
          </cell>
        </row>
        <row r="760">
          <cell r="A760">
            <v>1725603202380</v>
          </cell>
          <cell r="B760">
            <v>3.87</v>
          </cell>
          <cell r="C760">
            <v>65</v>
          </cell>
        </row>
        <row r="761">
          <cell r="A761">
            <v>1748846548921</v>
          </cell>
          <cell r="B761">
            <v>2.35</v>
          </cell>
          <cell r="C761">
            <v>25</v>
          </cell>
        </row>
        <row r="762">
          <cell r="A762">
            <v>1748504519320</v>
          </cell>
          <cell r="B762">
            <v>6.13</v>
          </cell>
          <cell r="C762">
            <v>65</v>
          </cell>
        </row>
        <row r="763">
          <cell r="A763">
            <v>1749192812519</v>
          </cell>
          <cell r="B763">
            <v>1.03</v>
          </cell>
          <cell r="C763">
            <v>10</v>
          </cell>
        </row>
        <row r="764">
          <cell r="A764">
            <v>1748670377873</v>
          </cell>
          <cell r="B764">
            <v>2</v>
          </cell>
          <cell r="C764">
            <v>20</v>
          </cell>
        </row>
        <row r="765">
          <cell r="A765">
            <v>1713761552993</v>
          </cell>
          <cell r="B765">
            <v>1.26</v>
          </cell>
          <cell r="C765">
            <v>15</v>
          </cell>
        </row>
        <row r="766">
          <cell r="A766">
            <v>1748342304685</v>
          </cell>
          <cell r="B766">
            <v>4.83</v>
          </cell>
          <cell r="C766">
            <v>50</v>
          </cell>
        </row>
        <row r="767">
          <cell r="A767">
            <v>1714116470550</v>
          </cell>
          <cell r="B767">
            <v>0.84</v>
          </cell>
          <cell r="C767">
            <v>10</v>
          </cell>
        </row>
        <row r="768">
          <cell r="A768">
            <v>1748347278714</v>
          </cell>
          <cell r="B768">
            <v>6.15</v>
          </cell>
          <cell r="C768">
            <v>65</v>
          </cell>
        </row>
        <row r="769">
          <cell r="A769">
            <v>1748754670687</v>
          </cell>
          <cell r="B769">
            <v>1.96</v>
          </cell>
          <cell r="C769">
            <v>20</v>
          </cell>
        </row>
        <row r="770">
          <cell r="A770">
            <v>1748849840379</v>
          </cell>
          <cell r="B770">
            <v>6.29</v>
          </cell>
          <cell r="C770">
            <v>65</v>
          </cell>
        </row>
        <row r="771">
          <cell r="A771">
            <v>1729144120344</v>
          </cell>
          <cell r="B771">
            <v>5.34</v>
          </cell>
          <cell r="C771">
            <v>65</v>
          </cell>
        </row>
        <row r="772">
          <cell r="A772">
            <v>1728023111802</v>
          </cell>
          <cell r="B772">
            <v>11.46</v>
          </cell>
          <cell r="C772">
            <v>120</v>
          </cell>
        </row>
        <row r="773">
          <cell r="A773">
            <v>1748842055160</v>
          </cell>
          <cell r="B773">
            <v>0.93</v>
          </cell>
          <cell r="C773">
            <v>10</v>
          </cell>
        </row>
        <row r="774">
          <cell r="A774">
            <v>1748693321317</v>
          </cell>
          <cell r="B774">
            <v>3.76</v>
          </cell>
          <cell r="C774">
            <v>40</v>
          </cell>
        </row>
        <row r="775">
          <cell r="A775">
            <v>1728885177940</v>
          </cell>
          <cell r="B775">
            <v>4.13</v>
          </cell>
          <cell r="C775">
            <v>53.5</v>
          </cell>
        </row>
        <row r="776">
          <cell r="A776">
            <v>1743606247843</v>
          </cell>
          <cell r="B776">
            <v>7.94</v>
          </cell>
          <cell r="C776">
            <v>100</v>
          </cell>
        </row>
        <row r="777">
          <cell r="A777">
            <v>1745298826445</v>
          </cell>
          <cell r="B777">
            <v>19.010000000000002</v>
          </cell>
          <cell r="C777">
            <v>195</v>
          </cell>
        </row>
        <row r="778">
          <cell r="A778">
            <v>1745485348538</v>
          </cell>
          <cell r="B778">
            <v>16.399999999999999</v>
          </cell>
          <cell r="C778">
            <v>175</v>
          </cell>
        </row>
        <row r="779">
          <cell r="A779">
            <v>1743605342928</v>
          </cell>
          <cell r="B779">
            <v>7.2</v>
          </cell>
          <cell r="C779">
            <v>70</v>
          </cell>
        </row>
        <row r="780">
          <cell r="A780">
            <v>1743595581378</v>
          </cell>
          <cell r="B780">
            <v>6.34</v>
          </cell>
          <cell r="C780">
            <v>75</v>
          </cell>
        </row>
        <row r="781">
          <cell r="A781">
            <v>1725519840342</v>
          </cell>
          <cell r="B781">
            <v>0.73</v>
          </cell>
          <cell r="C781">
            <v>15</v>
          </cell>
        </row>
        <row r="782">
          <cell r="A782">
            <v>1725534701525</v>
          </cell>
          <cell r="B782">
            <v>1.0900000000000001</v>
          </cell>
          <cell r="C782">
            <v>35</v>
          </cell>
        </row>
        <row r="783">
          <cell r="A783">
            <v>1726291040723</v>
          </cell>
          <cell r="B783">
            <v>7.22</v>
          </cell>
          <cell r="C783">
            <v>100</v>
          </cell>
        </row>
        <row r="784">
          <cell r="A784">
            <v>1736751374992</v>
          </cell>
          <cell r="B784">
            <v>7.97</v>
          </cell>
          <cell r="C784">
            <v>90</v>
          </cell>
        </row>
        <row r="785">
          <cell r="A785">
            <v>1749807897941</v>
          </cell>
          <cell r="B785">
            <v>16.98</v>
          </cell>
          <cell r="C785">
            <v>180</v>
          </cell>
        </row>
        <row r="786">
          <cell r="A786">
            <v>1749637567005</v>
          </cell>
          <cell r="B786">
            <v>3.25</v>
          </cell>
          <cell r="C786">
            <v>35</v>
          </cell>
        </row>
        <row r="787">
          <cell r="A787">
            <v>1749905111437</v>
          </cell>
          <cell r="B787">
            <v>4.72</v>
          </cell>
          <cell r="C787">
            <v>50</v>
          </cell>
        </row>
        <row r="788">
          <cell r="A788">
            <v>1749901239529</v>
          </cell>
          <cell r="B788">
            <v>3.5</v>
          </cell>
          <cell r="C788">
            <v>35</v>
          </cell>
        </row>
        <row r="789">
          <cell r="A789">
            <v>1749713521299</v>
          </cell>
          <cell r="B789">
            <v>3.4</v>
          </cell>
          <cell r="C789">
            <v>35</v>
          </cell>
        </row>
        <row r="790">
          <cell r="A790">
            <v>1749715977819</v>
          </cell>
          <cell r="B790">
            <v>3.85</v>
          </cell>
          <cell r="C790">
            <v>40</v>
          </cell>
        </row>
        <row r="791">
          <cell r="A791">
            <v>1749899399571</v>
          </cell>
          <cell r="B791">
            <v>1.46</v>
          </cell>
          <cell r="C791">
            <v>15</v>
          </cell>
        </row>
        <row r="792">
          <cell r="A792">
            <v>1744187191477</v>
          </cell>
          <cell r="B792">
            <v>7.21</v>
          </cell>
          <cell r="C792">
            <v>80</v>
          </cell>
        </row>
        <row r="793">
          <cell r="A793">
            <v>1727329175790</v>
          </cell>
          <cell r="B793">
            <v>1.06</v>
          </cell>
          <cell r="C793">
            <v>25</v>
          </cell>
        </row>
        <row r="794">
          <cell r="A794">
            <v>1726031941464</v>
          </cell>
          <cell r="B794">
            <v>3.74</v>
          </cell>
          <cell r="C794">
            <v>110</v>
          </cell>
        </row>
        <row r="795">
          <cell r="A795">
            <v>1749713605167</v>
          </cell>
          <cell r="B795">
            <v>2.79</v>
          </cell>
          <cell r="C795">
            <v>30</v>
          </cell>
        </row>
        <row r="796">
          <cell r="A796">
            <v>1713779893608</v>
          </cell>
          <cell r="B796">
            <v>3.72</v>
          </cell>
          <cell r="C796">
            <v>40</v>
          </cell>
        </row>
        <row r="797">
          <cell r="A797">
            <v>1748578424712</v>
          </cell>
          <cell r="B797">
            <v>7.27</v>
          </cell>
          <cell r="C797">
            <v>70</v>
          </cell>
        </row>
        <row r="798">
          <cell r="A798">
            <v>1713615988695</v>
          </cell>
          <cell r="B798">
            <v>16.48</v>
          </cell>
          <cell r="C798">
            <v>170</v>
          </cell>
        </row>
        <row r="799">
          <cell r="A799">
            <v>1745993251014</v>
          </cell>
          <cell r="B799">
            <v>2.4300000000000002</v>
          </cell>
          <cell r="C799">
            <v>35</v>
          </cell>
        </row>
        <row r="800">
          <cell r="A800">
            <v>1738559671998</v>
          </cell>
          <cell r="B800">
            <v>2.64</v>
          </cell>
          <cell r="C800">
            <v>25</v>
          </cell>
        </row>
        <row r="801">
          <cell r="A801">
            <v>1739001416203</v>
          </cell>
          <cell r="B801">
            <v>1.73</v>
          </cell>
          <cell r="C801">
            <v>20</v>
          </cell>
        </row>
        <row r="802">
          <cell r="A802">
            <v>1738647001871</v>
          </cell>
          <cell r="B802">
            <v>8.93</v>
          </cell>
          <cell r="C802">
            <v>80</v>
          </cell>
        </row>
        <row r="803">
          <cell r="A803">
            <v>1749634626952</v>
          </cell>
          <cell r="B803">
            <v>1.72</v>
          </cell>
          <cell r="C803">
            <v>20</v>
          </cell>
        </row>
        <row r="804">
          <cell r="A804">
            <v>1728108917822</v>
          </cell>
          <cell r="B804">
            <v>4.8499999999999996</v>
          </cell>
          <cell r="C804">
            <v>40</v>
          </cell>
        </row>
        <row r="805">
          <cell r="A805">
            <v>1727079795062</v>
          </cell>
          <cell r="B805">
            <v>2.11</v>
          </cell>
          <cell r="C805">
            <v>20</v>
          </cell>
        </row>
        <row r="806">
          <cell r="A806">
            <v>1738578136757</v>
          </cell>
          <cell r="B806">
            <v>4.2300000000000004</v>
          </cell>
          <cell r="C806">
            <v>35</v>
          </cell>
        </row>
        <row r="807">
          <cell r="A807">
            <v>1748314903144</v>
          </cell>
          <cell r="B807">
            <v>3.04</v>
          </cell>
          <cell r="C807">
            <v>30</v>
          </cell>
        </row>
        <row r="808">
          <cell r="A808">
            <v>1749024337374</v>
          </cell>
          <cell r="B808">
            <v>1.39</v>
          </cell>
          <cell r="C808">
            <v>15</v>
          </cell>
        </row>
        <row r="809">
          <cell r="A809">
            <v>1743583809078</v>
          </cell>
          <cell r="B809">
            <v>1.0900000000000001</v>
          </cell>
          <cell r="C809">
            <v>15</v>
          </cell>
        </row>
        <row r="810">
          <cell r="A810">
            <v>1722491971736</v>
          </cell>
          <cell r="B810">
            <v>3</v>
          </cell>
          <cell r="C810">
            <v>30</v>
          </cell>
        </row>
        <row r="811">
          <cell r="A811">
            <v>1716602739480</v>
          </cell>
          <cell r="B811">
            <v>8.51</v>
          </cell>
          <cell r="C811">
            <v>90</v>
          </cell>
        </row>
        <row r="812">
          <cell r="A812">
            <v>1748333977982</v>
          </cell>
          <cell r="B812">
            <v>16.34</v>
          </cell>
          <cell r="C812">
            <v>180</v>
          </cell>
        </row>
        <row r="813">
          <cell r="A813">
            <v>1749024576851</v>
          </cell>
          <cell r="B813">
            <v>2.57</v>
          </cell>
          <cell r="C813">
            <v>30</v>
          </cell>
        </row>
        <row r="814">
          <cell r="A814">
            <v>1748317325987</v>
          </cell>
          <cell r="B814">
            <v>0.99</v>
          </cell>
          <cell r="C814">
            <v>10</v>
          </cell>
        </row>
        <row r="815">
          <cell r="A815">
            <v>1748853689686</v>
          </cell>
          <cell r="B815">
            <v>5.14</v>
          </cell>
          <cell r="C815">
            <v>55</v>
          </cell>
        </row>
        <row r="816">
          <cell r="A816">
            <v>1713758715303</v>
          </cell>
          <cell r="B816">
            <v>1.51</v>
          </cell>
          <cell r="C816">
            <v>15</v>
          </cell>
        </row>
        <row r="817">
          <cell r="A817">
            <v>1715928588137</v>
          </cell>
          <cell r="B817">
            <v>11.94</v>
          </cell>
          <cell r="C817">
            <v>115</v>
          </cell>
        </row>
        <row r="818">
          <cell r="A818">
            <v>1737016075571</v>
          </cell>
          <cell r="B818">
            <v>7.81</v>
          </cell>
          <cell r="C818">
            <v>90</v>
          </cell>
        </row>
        <row r="819">
          <cell r="A819">
            <v>1731568625083</v>
          </cell>
          <cell r="B819">
            <v>0.5</v>
          </cell>
          <cell r="C819">
            <v>10</v>
          </cell>
        </row>
        <row r="820">
          <cell r="A820">
            <v>1713760316323</v>
          </cell>
          <cell r="B820">
            <v>3.46</v>
          </cell>
          <cell r="C820">
            <v>35</v>
          </cell>
        </row>
        <row r="821">
          <cell r="A821">
            <v>1748863964873</v>
          </cell>
          <cell r="B821">
            <v>2.57</v>
          </cell>
          <cell r="C821">
            <v>30</v>
          </cell>
        </row>
        <row r="822">
          <cell r="A822">
            <v>1748505814579</v>
          </cell>
          <cell r="B822">
            <v>1.45</v>
          </cell>
          <cell r="C822">
            <v>15</v>
          </cell>
        </row>
        <row r="823">
          <cell r="A823">
            <v>1745219118616</v>
          </cell>
          <cell r="B823">
            <v>8.81</v>
          </cell>
          <cell r="C823">
            <v>115</v>
          </cell>
        </row>
        <row r="824">
          <cell r="A824">
            <v>1743595395480</v>
          </cell>
          <cell r="B824">
            <v>17.82</v>
          </cell>
          <cell r="C824">
            <v>235</v>
          </cell>
        </row>
        <row r="825">
          <cell r="A825">
            <v>1743604103162</v>
          </cell>
          <cell r="B825">
            <v>7.73</v>
          </cell>
          <cell r="C825">
            <v>90</v>
          </cell>
        </row>
        <row r="826">
          <cell r="A826">
            <v>1742539437752</v>
          </cell>
          <cell r="B826">
            <v>2.17</v>
          </cell>
          <cell r="C826">
            <v>25</v>
          </cell>
        </row>
        <row r="827">
          <cell r="A827">
            <v>1744530426863</v>
          </cell>
          <cell r="B827">
            <v>1.82</v>
          </cell>
          <cell r="C827">
            <v>20</v>
          </cell>
        </row>
        <row r="828">
          <cell r="A828">
            <v>1712578493549</v>
          </cell>
          <cell r="B828">
            <v>3.02</v>
          </cell>
          <cell r="C828">
            <v>30</v>
          </cell>
        </row>
        <row r="829">
          <cell r="A829">
            <v>1745484480369</v>
          </cell>
          <cell r="B829">
            <v>3.56</v>
          </cell>
          <cell r="C829">
            <v>35</v>
          </cell>
        </row>
        <row r="830">
          <cell r="A830">
            <v>1715576236071</v>
          </cell>
          <cell r="B830">
            <v>2.17</v>
          </cell>
          <cell r="C830">
            <v>20</v>
          </cell>
        </row>
        <row r="831">
          <cell r="A831">
            <v>1744686870376</v>
          </cell>
          <cell r="B831">
            <v>5.65</v>
          </cell>
          <cell r="C831">
            <v>60</v>
          </cell>
        </row>
        <row r="832">
          <cell r="A832">
            <v>1746708391295</v>
          </cell>
          <cell r="B832">
            <v>10.08</v>
          </cell>
          <cell r="C832">
            <v>100</v>
          </cell>
        </row>
        <row r="833">
          <cell r="A833">
            <v>1744784679268</v>
          </cell>
          <cell r="B833">
            <v>4.3899999999999997</v>
          </cell>
          <cell r="C833">
            <v>50</v>
          </cell>
        </row>
        <row r="834">
          <cell r="A834">
            <v>1744709365436</v>
          </cell>
          <cell r="B834">
            <v>4.2300000000000004</v>
          </cell>
          <cell r="C834">
            <v>50</v>
          </cell>
        </row>
        <row r="835">
          <cell r="A835">
            <v>1734002915581</v>
          </cell>
          <cell r="B835">
            <v>0.78</v>
          </cell>
          <cell r="C835">
            <v>15</v>
          </cell>
        </row>
        <row r="836">
          <cell r="A836">
            <v>1745477447723</v>
          </cell>
          <cell r="B836">
            <v>4.57</v>
          </cell>
          <cell r="C836">
            <v>50</v>
          </cell>
        </row>
        <row r="837">
          <cell r="A837">
            <v>1743139744800</v>
          </cell>
          <cell r="B837">
            <v>4.7</v>
          </cell>
          <cell r="C837">
            <v>50</v>
          </cell>
        </row>
        <row r="838">
          <cell r="A838">
            <v>1742870986817</v>
          </cell>
          <cell r="B838">
            <v>3.12</v>
          </cell>
          <cell r="C838">
            <v>35</v>
          </cell>
        </row>
        <row r="839">
          <cell r="A839">
            <v>1744544071019</v>
          </cell>
          <cell r="B839">
            <v>11.38</v>
          </cell>
          <cell r="C839">
            <v>125</v>
          </cell>
        </row>
        <row r="840">
          <cell r="A840">
            <v>1748584823866</v>
          </cell>
          <cell r="B840">
            <v>7.8</v>
          </cell>
          <cell r="C840">
            <v>75</v>
          </cell>
        </row>
        <row r="841">
          <cell r="A841">
            <v>1744866225806</v>
          </cell>
          <cell r="B841">
            <v>1.1399999999999999</v>
          </cell>
          <cell r="C841">
            <v>15</v>
          </cell>
        </row>
        <row r="842">
          <cell r="A842">
            <v>1745823902805</v>
          </cell>
          <cell r="B842">
            <v>6.53</v>
          </cell>
          <cell r="C842">
            <v>100</v>
          </cell>
        </row>
        <row r="843">
          <cell r="A843">
            <v>1743672557006</v>
          </cell>
          <cell r="B843">
            <v>5.79</v>
          </cell>
          <cell r="C843">
            <v>65</v>
          </cell>
        </row>
        <row r="844">
          <cell r="A844">
            <v>1745202089226</v>
          </cell>
          <cell r="B844">
            <v>36.33</v>
          </cell>
          <cell r="C844">
            <v>390</v>
          </cell>
        </row>
        <row r="845">
          <cell r="A845">
            <v>1713926877606</v>
          </cell>
          <cell r="B845">
            <v>10.15</v>
          </cell>
          <cell r="C845">
            <v>115</v>
          </cell>
        </row>
        <row r="846">
          <cell r="A846">
            <v>1726038810109</v>
          </cell>
          <cell r="B846">
            <v>18.350000000000001</v>
          </cell>
          <cell r="C846">
            <v>185</v>
          </cell>
        </row>
        <row r="847">
          <cell r="A847">
            <v>1744446091778</v>
          </cell>
          <cell r="B847">
            <v>0.63</v>
          </cell>
          <cell r="C847">
            <v>10</v>
          </cell>
        </row>
        <row r="848">
          <cell r="A848">
            <v>1713929230064</v>
          </cell>
          <cell r="B848">
            <v>5.42</v>
          </cell>
          <cell r="C848">
            <v>60</v>
          </cell>
        </row>
        <row r="849">
          <cell r="A849">
            <v>1726729681512</v>
          </cell>
          <cell r="B849">
            <v>5.91</v>
          </cell>
          <cell r="C849">
            <v>60</v>
          </cell>
        </row>
        <row r="850">
          <cell r="A850">
            <v>1732159897303</v>
          </cell>
          <cell r="B850">
            <v>2.83</v>
          </cell>
          <cell r="C850">
            <v>65</v>
          </cell>
        </row>
        <row r="851">
          <cell r="A851">
            <v>1715928008965</v>
          </cell>
          <cell r="B851">
            <v>9.9</v>
          </cell>
          <cell r="C851">
            <v>100</v>
          </cell>
        </row>
        <row r="852">
          <cell r="A852">
            <v>1715926256732</v>
          </cell>
          <cell r="B852">
            <v>16.579999999999998</v>
          </cell>
          <cell r="C852">
            <v>170</v>
          </cell>
        </row>
        <row r="853">
          <cell r="A853">
            <v>1731310666645</v>
          </cell>
          <cell r="B853">
            <v>5.34</v>
          </cell>
          <cell r="C853">
            <v>60</v>
          </cell>
        </row>
        <row r="854">
          <cell r="A854">
            <v>1732595430012</v>
          </cell>
          <cell r="B854">
            <v>10.59</v>
          </cell>
          <cell r="C854">
            <v>210</v>
          </cell>
        </row>
        <row r="855">
          <cell r="A855">
            <v>1731992125750</v>
          </cell>
          <cell r="B855">
            <v>0.38</v>
          </cell>
          <cell r="C855">
            <v>10</v>
          </cell>
        </row>
        <row r="856">
          <cell r="A856">
            <v>1744025698313</v>
          </cell>
          <cell r="B856">
            <v>1.57</v>
          </cell>
          <cell r="C856">
            <v>20</v>
          </cell>
        </row>
        <row r="857">
          <cell r="A857">
            <v>1743225976507</v>
          </cell>
          <cell r="B857">
            <v>5</v>
          </cell>
          <cell r="C857">
            <v>50</v>
          </cell>
        </row>
        <row r="858">
          <cell r="A858">
            <v>1733120179461</v>
          </cell>
          <cell r="B858">
            <v>0.79</v>
          </cell>
          <cell r="C858">
            <v>25</v>
          </cell>
        </row>
        <row r="859">
          <cell r="A859">
            <v>1744085286306</v>
          </cell>
          <cell r="B859">
            <v>2.56</v>
          </cell>
          <cell r="C859">
            <v>25</v>
          </cell>
        </row>
        <row r="860">
          <cell r="A860">
            <v>1722495690972</v>
          </cell>
          <cell r="B860">
            <v>3.91</v>
          </cell>
          <cell r="C860">
            <v>40</v>
          </cell>
        </row>
        <row r="861">
          <cell r="A861">
            <v>1731566900173</v>
          </cell>
          <cell r="B861">
            <v>0.75</v>
          </cell>
          <cell r="C861">
            <v>20</v>
          </cell>
        </row>
        <row r="862">
          <cell r="A862">
            <v>1735021786201</v>
          </cell>
          <cell r="B862">
            <v>3.49</v>
          </cell>
          <cell r="C862">
            <v>30</v>
          </cell>
        </row>
        <row r="863">
          <cell r="A863">
            <v>1732112610993</v>
          </cell>
          <cell r="B863">
            <v>1.78</v>
          </cell>
          <cell r="C863">
            <v>40</v>
          </cell>
        </row>
        <row r="864">
          <cell r="A864">
            <v>1734933770615</v>
          </cell>
          <cell r="B864">
            <v>3.24</v>
          </cell>
          <cell r="C864">
            <v>35</v>
          </cell>
        </row>
        <row r="865">
          <cell r="A865">
            <v>1735020452186</v>
          </cell>
          <cell r="B865">
            <v>2.37</v>
          </cell>
          <cell r="C865">
            <v>45</v>
          </cell>
        </row>
        <row r="866">
          <cell r="A866">
            <v>1735032177742</v>
          </cell>
          <cell r="B866">
            <v>4.76</v>
          </cell>
          <cell r="C866">
            <v>45</v>
          </cell>
        </row>
        <row r="867">
          <cell r="A867">
            <v>1735634385062</v>
          </cell>
          <cell r="B867">
            <v>0.31</v>
          </cell>
          <cell r="C867">
            <v>10</v>
          </cell>
        </row>
        <row r="868">
          <cell r="A868">
            <v>1735278564756</v>
          </cell>
          <cell r="B868">
            <v>4.2</v>
          </cell>
          <cell r="C868">
            <v>85</v>
          </cell>
        </row>
        <row r="869">
          <cell r="A869">
            <v>1731913038788</v>
          </cell>
          <cell r="B869">
            <v>11.21</v>
          </cell>
          <cell r="C869">
            <v>130</v>
          </cell>
        </row>
        <row r="870">
          <cell r="A870">
            <v>1735029724051</v>
          </cell>
          <cell r="B870">
            <v>3.74</v>
          </cell>
          <cell r="C870">
            <v>40</v>
          </cell>
        </row>
        <row r="871">
          <cell r="A871">
            <v>1741258473703</v>
          </cell>
          <cell r="B871">
            <v>5.7</v>
          </cell>
          <cell r="C871">
            <v>90</v>
          </cell>
        </row>
        <row r="872">
          <cell r="A872">
            <v>1742793206070</v>
          </cell>
          <cell r="B872">
            <v>7.65</v>
          </cell>
          <cell r="C872">
            <v>150</v>
          </cell>
        </row>
        <row r="873">
          <cell r="A873">
            <v>1741769755512</v>
          </cell>
          <cell r="B873">
            <v>7.22</v>
          </cell>
          <cell r="C873">
            <v>105</v>
          </cell>
        </row>
        <row r="874">
          <cell r="A874">
            <v>1742816254788</v>
          </cell>
          <cell r="B874">
            <v>4.1500000000000004</v>
          </cell>
          <cell r="C874">
            <v>50</v>
          </cell>
        </row>
        <row r="875">
          <cell r="A875">
            <v>1742620690584</v>
          </cell>
          <cell r="B875">
            <v>8.49</v>
          </cell>
          <cell r="C875">
            <v>110</v>
          </cell>
        </row>
        <row r="876">
          <cell r="A876">
            <v>1742635870924</v>
          </cell>
          <cell r="B876">
            <v>10.79</v>
          </cell>
          <cell r="C876">
            <v>145</v>
          </cell>
        </row>
        <row r="877">
          <cell r="A877">
            <v>1742629570273</v>
          </cell>
          <cell r="B877">
            <v>12.23</v>
          </cell>
          <cell r="C877">
            <v>150</v>
          </cell>
        </row>
        <row r="878">
          <cell r="A878">
            <v>1742197394133</v>
          </cell>
          <cell r="B878">
            <v>10.7</v>
          </cell>
          <cell r="C878">
            <v>130</v>
          </cell>
        </row>
        <row r="879">
          <cell r="A879">
            <v>1726210854356</v>
          </cell>
          <cell r="B879">
            <v>7.8</v>
          </cell>
          <cell r="C879">
            <v>75</v>
          </cell>
        </row>
        <row r="880">
          <cell r="A880">
            <v>1741157422189</v>
          </cell>
          <cell r="B880">
            <v>0.97</v>
          </cell>
          <cell r="C880">
            <v>10</v>
          </cell>
        </row>
        <row r="881">
          <cell r="A881">
            <v>1733121440439</v>
          </cell>
          <cell r="B881">
            <v>0.48</v>
          </cell>
          <cell r="C881">
            <v>15</v>
          </cell>
        </row>
        <row r="882">
          <cell r="A882">
            <v>1748669502562</v>
          </cell>
          <cell r="B882">
            <v>12.04</v>
          </cell>
          <cell r="C882">
            <v>115</v>
          </cell>
        </row>
        <row r="883">
          <cell r="A883">
            <v>1729236282710</v>
          </cell>
          <cell r="B883">
            <v>9.98</v>
          </cell>
          <cell r="C883">
            <v>125</v>
          </cell>
        </row>
        <row r="884">
          <cell r="A884">
            <v>1732947491990</v>
          </cell>
          <cell r="B884">
            <v>0.55000000000000004</v>
          </cell>
          <cell r="C884">
            <v>10</v>
          </cell>
        </row>
        <row r="885">
          <cell r="A885">
            <v>1728453879255</v>
          </cell>
          <cell r="B885">
            <v>13.28</v>
          </cell>
          <cell r="C885">
            <v>145</v>
          </cell>
        </row>
        <row r="886">
          <cell r="A886">
            <v>1728024922511</v>
          </cell>
          <cell r="B886">
            <v>7.27</v>
          </cell>
          <cell r="C886">
            <v>80</v>
          </cell>
        </row>
        <row r="887">
          <cell r="A887">
            <v>1728025101889</v>
          </cell>
          <cell r="B887">
            <v>18.22</v>
          </cell>
          <cell r="C887">
            <v>200</v>
          </cell>
        </row>
        <row r="888">
          <cell r="A888">
            <v>1741338093488</v>
          </cell>
          <cell r="B888">
            <v>10.47</v>
          </cell>
          <cell r="C888">
            <v>120</v>
          </cell>
        </row>
        <row r="889">
          <cell r="A889">
            <v>1742192594140</v>
          </cell>
          <cell r="B889">
            <v>6.14</v>
          </cell>
          <cell r="C889">
            <v>75</v>
          </cell>
        </row>
        <row r="890">
          <cell r="A890">
            <v>1741683402810</v>
          </cell>
          <cell r="B890">
            <v>8.74</v>
          </cell>
          <cell r="C890">
            <v>90</v>
          </cell>
        </row>
        <row r="891">
          <cell r="A891">
            <v>1728368817134</v>
          </cell>
          <cell r="B891">
            <v>14.25</v>
          </cell>
          <cell r="C891">
            <v>150</v>
          </cell>
        </row>
        <row r="892">
          <cell r="A892">
            <v>1713953335548</v>
          </cell>
          <cell r="B892">
            <v>1.93</v>
          </cell>
          <cell r="C892">
            <v>20</v>
          </cell>
        </row>
        <row r="893">
          <cell r="A893">
            <v>1743990664222</v>
          </cell>
          <cell r="B893">
            <v>4.45</v>
          </cell>
          <cell r="C893">
            <v>65</v>
          </cell>
        </row>
        <row r="894">
          <cell r="A894">
            <v>1743996765929</v>
          </cell>
          <cell r="B894">
            <v>4.08</v>
          </cell>
          <cell r="C894">
            <v>50</v>
          </cell>
        </row>
        <row r="895">
          <cell r="A895">
            <v>1744778514460</v>
          </cell>
          <cell r="B895">
            <v>5.39</v>
          </cell>
          <cell r="C895">
            <v>70</v>
          </cell>
        </row>
        <row r="896">
          <cell r="A896">
            <v>1746504776090</v>
          </cell>
          <cell r="B896">
            <v>9.06</v>
          </cell>
          <cell r="C896">
            <v>100</v>
          </cell>
        </row>
        <row r="897">
          <cell r="A897">
            <v>1746165249936</v>
          </cell>
          <cell r="B897">
            <v>4.18</v>
          </cell>
          <cell r="C897">
            <v>50</v>
          </cell>
        </row>
        <row r="898">
          <cell r="A898">
            <v>1711696824605</v>
          </cell>
          <cell r="B898">
            <v>8.0500000000000007</v>
          </cell>
          <cell r="C898">
            <v>95</v>
          </cell>
        </row>
        <row r="899">
          <cell r="A899">
            <v>1745396086795</v>
          </cell>
          <cell r="B899">
            <v>7.27</v>
          </cell>
          <cell r="C899">
            <v>90</v>
          </cell>
        </row>
        <row r="900">
          <cell r="A900">
            <v>1725339060176</v>
          </cell>
          <cell r="B900">
            <v>5.78</v>
          </cell>
          <cell r="C900">
            <v>70</v>
          </cell>
        </row>
        <row r="901">
          <cell r="A901">
            <v>1737529987980</v>
          </cell>
          <cell r="B901">
            <v>10.48</v>
          </cell>
          <cell r="C901">
            <v>120</v>
          </cell>
        </row>
        <row r="902">
          <cell r="A902">
            <v>1742369198443</v>
          </cell>
          <cell r="B902">
            <v>1.46</v>
          </cell>
          <cell r="C902">
            <v>15</v>
          </cell>
        </row>
        <row r="903">
          <cell r="A903">
            <v>1742809898714</v>
          </cell>
          <cell r="B903">
            <v>1.84</v>
          </cell>
          <cell r="C903">
            <v>20</v>
          </cell>
        </row>
        <row r="904">
          <cell r="A904">
            <v>1726467464650</v>
          </cell>
          <cell r="B904">
            <v>7.69</v>
          </cell>
          <cell r="C904">
            <v>75</v>
          </cell>
        </row>
        <row r="905">
          <cell r="A905">
            <v>1743487048588</v>
          </cell>
          <cell r="B905">
            <v>1.2</v>
          </cell>
          <cell r="C905">
            <v>15</v>
          </cell>
        </row>
        <row r="906">
          <cell r="A906">
            <v>1743847932369</v>
          </cell>
          <cell r="B906">
            <v>1.71</v>
          </cell>
          <cell r="C906">
            <v>15</v>
          </cell>
        </row>
        <row r="907">
          <cell r="A907">
            <v>1743828520651</v>
          </cell>
          <cell r="B907">
            <v>1.38</v>
          </cell>
          <cell r="C907">
            <v>15</v>
          </cell>
        </row>
        <row r="908">
          <cell r="A908">
            <v>1742810968699</v>
          </cell>
          <cell r="B908">
            <v>1.05</v>
          </cell>
          <cell r="C908">
            <v>15</v>
          </cell>
        </row>
        <row r="909">
          <cell r="A909">
            <v>1743675026394</v>
          </cell>
          <cell r="B909">
            <v>2.4700000000000002</v>
          </cell>
          <cell r="C909">
            <v>25</v>
          </cell>
        </row>
        <row r="910">
          <cell r="A910">
            <v>1743490266166</v>
          </cell>
          <cell r="B910">
            <v>1.4</v>
          </cell>
          <cell r="C910">
            <v>15</v>
          </cell>
        </row>
        <row r="911">
          <cell r="A911">
            <v>1743744889609</v>
          </cell>
          <cell r="B911">
            <v>2.1</v>
          </cell>
          <cell r="C911">
            <v>20</v>
          </cell>
        </row>
        <row r="912">
          <cell r="A912">
            <v>1716552577217</v>
          </cell>
          <cell r="B912">
            <v>1.79</v>
          </cell>
          <cell r="C912">
            <v>20</v>
          </cell>
        </row>
        <row r="913">
          <cell r="A913">
            <v>1743501643292</v>
          </cell>
          <cell r="B913">
            <v>0.56999999999999995</v>
          </cell>
          <cell r="C913">
            <v>5</v>
          </cell>
        </row>
        <row r="914">
          <cell r="A914">
            <v>1726216961988</v>
          </cell>
          <cell r="B914">
            <v>5.0999999999999996</v>
          </cell>
          <cell r="C914">
            <v>45</v>
          </cell>
        </row>
        <row r="915">
          <cell r="A915">
            <v>1722497086554</v>
          </cell>
          <cell r="B915">
            <v>3.88</v>
          </cell>
          <cell r="C915">
            <v>35</v>
          </cell>
        </row>
        <row r="916">
          <cell r="A916">
            <v>1742446962773</v>
          </cell>
          <cell r="B916">
            <v>1.28</v>
          </cell>
          <cell r="C916">
            <v>15</v>
          </cell>
        </row>
        <row r="917">
          <cell r="A917">
            <v>1742285801068</v>
          </cell>
          <cell r="B917">
            <v>5.2</v>
          </cell>
          <cell r="C917">
            <v>55</v>
          </cell>
        </row>
        <row r="918">
          <cell r="A918">
            <v>1713598394838</v>
          </cell>
          <cell r="B918">
            <v>7.03</v>
          </cell>
          <cell r="C918">
            <v>55</v>
          </cell>
        </row>
        <row r="919">
          <cell r="A919">
            <v>1743152186902</v>
          </cell>
          <cell r="B919">
            <v>2.69</v>
          </cell>
          <cell r="C919">
            <v>40</v>
          </cell>
        </row>
        <row r="920">
          <cell r="A920">
            <v>1744979024499</v>
          </cell>
          <cell r="B920">
            <v>7.28</v>
          </cell>
          <cell r="C920">
            <v>75</v>
          </cell>
        </row>
        <row r="921">
          <cell r="A921">
            <v>1714795734854</v>
          </cell>
          <cell r="B921">
            <v>3.63</v>
          </cell>
          <cell r="C921">
            <v>45</v>
          </cell>
        </row>
        <row r="922">
          <cell r="A922">
            <v>1716346948424</v>
          </cell>
          <cell r="B922">
            <v>7.72</v>
          </cell>
          <cell r="C922">
            <v>80</v>
          </cell>
        </row>
        <row r="923">
          <cell r="A923">
            <v>1714195739521</v>
          </cell>
          <cell r="B923">
            <v>4.68</v>
          </cell>
          <cell r="C923">
            <v>45</v>
          </cell>
        </row>
        <row r="924">
          <cell r="A924">
            <v>1742529969300</v>
          </cell>
          <cell r="B924">
            <v>4.46</v>
          </cell>
          <cell r="C924">
            <v>50</v>
          </cell>
        </row>
        <row r="925">
          <cell r="A925">
            <v>1713759036504</v>
          </cell>
          <cell r="B925">
            <v>3.52</v>
          </cell>
          <cell r="C925">
            <v>35</v>
          </cell>
        </row>
        <row r="926">
          <cell r="A926">
            <v>1744981770678</v>
          </cell>
          <cell r="B926">
            <v>8.0399999999999991</v>
          </cell>
          <cell r="C926">
            <v>80</v>
          </cell>
        </row>
        <row r="927">
          <cell r="A927">
            <v>1749276780579</v>
          </cell>
          <cell r="B927">
            <v>5.35</v>
          </cell>
          <cell r="C927">
            <v>55</v>
          </cell>
        </row>
        <row r="928">
          <cell r="A928">
            <v>1732513766989</v>
          </cell>
          <cell r="B928">
            <v>12.23</v>
          </cell>
          <cell r="C928">
            <v>120</v>
          </cell>
        </row>
        <row r="929">
          <cell r="A929">
            <v>1722060583933</v>
          </cell>
          <cell r="B929">
            <v>6.76</v>
          </cell>
          <cell r="C929">
            <v>60</v>
          </cell>
        </row>
        <row r="930">
          <cell r="A930">
            <v>1745907146479</v>
          </cell>
          <cell r="B930">
            <v>13.03</v>
          </cell>
          <cell r="C930">
            <v>155</v>
          </cell>
        </row>
        <row r="931">
          <cell r="A931">
            <v>1744980298113</v>
          </cell>
          <cell r="B931">
            <v>2.84</v>
          </cell>
          <cell r="C931">
            <v>30</v>
          </cell>
        </row>
        <row r="932">
          <cell r="A932">
            <v>1746281314972</v>
          </cell>
          <cell r="B932">
            <v>14.18</v>
          </cell>
          <cell r="C932">
            <v>155</v>
          </cell>
        </row>
        <row r="933">
          <cell r="A933">
            <v>1748671345049</v>
          </cell>
          <cell r="B933">
            <v>10.46</v>
          </cell>
          <cell r="C933">
            <v>110</v>
          </cell>
        </row>
        <row r="934">
          <cell r="A934">
            <v>1726729485993</v>
          </cell>
          <cell r="B934">
            <v>2.44</v>
          </cell>
          <cell r="C934">
            <v>25</v>
          </cell>
        </row>
        <row r="935">
          <cell r="A935">
            <v>1726468780378</v>
          </cell>
          <cell r="B935">
            <v>11.82</v>
          </cell>
          <cell r="C935">
            <v>120</v>
          </cell>
        </row>
        <row r="936">
          <cell r="A936">
            <v>1742537601318</v>
          </cell>
          <cell r="B936">
            <v>1.78</v>
          </cell>
          <cell r="C936">
            <v>20</v>
          </cell>
        </row>
        <row r="937">
          <cell r="A937">
            <v>1742436399585</v>
          </cell>
          <cell r="B937">
            <v>2.0099999999999998</v>
          </cell>
          <cell r="C937">
            <v>25</v>
          </cell>
        </row>
        <row r="938">
          <cell r="A938">
            <v>1742277094696</v>
          </cell>
          <cell r="B938">
            <v>6.73</v>
          </cell>
          <cell r="C938">
            <v>70</v>
          </cell>
        </row>
        <row r="939">
          <cell r="A939">
            <v>1742361553224</v>
          </cell>
          <cell r="B939">
            <v>3.43</v>
          </cell>
          <cell r="C939">
            <v>40</v>
          </cell>
        </row>
        <row r="940">
          <cell r="A940">
            <v>1743153853208</v>
          </cell>
          <cell r="B940">
            <v>2.72</v>
          </cell>
          <cell r="C940">
            <v>40</v>
          </cell>
        </row>
        <row r="941">
          <cell r="A941">
            <v>1729484009945</v>
          </cell>
          <cell r="B941">
            <v>3.92</v>
          </cell>
          <cell r="C941">
            <v>45</v>
          </cell>
        </row>
        <row r="942">
          <cell r="A942">
            <v>1728533362066</v>
          </cell>
          <cell r="B942">
            <v>1.65</v>
          </cell>
          <cell r="C942">
            <v>25</v>
          </cell>
        </row>
        <row r="943">
          <cell r="A943">
            <v>1728532819017</v>
          </cell>
          <cell r="B943">
            <v>1.18</v>
          </cell>
          <cell r="C943">
            <v>15</v>
          </cell>
        </row>
        <row r="944">
          <cell r="A944">
            <v>1742973352796</v>
          </cell>
          <cell r="B944">
            <v>3.24</v>
          </cell>
          <cell r="C944">
            <v>35</v>
          </cell>
        </row>
        <row r="945">
          <cell r="A945">
            <v>1742446513007</v>
          </cell>
          <cell r="B945">
            <v>1.3</v>
          </cell>
          <cell r="C945">
            <v>15</v>
          </cell>
        </row>
        <row r="946">
          <cell r="A946">
            <v>1744544304736</v>
          </cell>
          <cell r="B946">
            <v>2.2000000000000002</v>
          </cell>
          <cell r="C946">
            <v>25</v>
          </cell>
        </row>
        <row r="947">
          <cell r="A947">
            <v>1731564023753</v>
          </cell>
          <cell r="B947">
            <v>6.5</v>
          </cell>
          <cell r="C947">
            <v>65</v>
          </cell>
        </row>
        <row r="948">
          <cell r="A948">
            <v>1743152740132</v>
          </cell>
          <cell r="B948">
            <v>1.86</v>
          </cell>
          <cell r="C948">
            <v>20</v>
          </cell>
        </row>
        <row r="949">
          <cell r="A949">
            <v>1743485254175</v>
          </cell>
          <cell r="B949">
            <v>2.77</v>
          </cell>
          <cell r="C949">
            <v>30</v>
          </cell>
        </row>
        <row r="950">
          <cell r="A950">
            <v>1742439538523</v>
          </cell>
          <cell r="B950">
            <v>5.12</v>
          </cell>
          <cell r="C950">
            <v>60</v>
          </cell>
        </row>
        <row r="951">
          <cell r="A951">
            <v>1740820546719</v>
          </cell>
          <cell r="B951">
            <v>4.7</v>
          </cell>
          <cell r="C951">
            <v>60</v>
          </cell>
        </row>
        <row r="952">
          <cell r="A952">
            <v>1739516759213</v>
          </cell>
          <cell r="B952">
            <v>11.92</v>
          </cell>
          <cell r="C952">
            <v>110</v>
          </cell>
        </row>
        <row r="953">
          <cell r="A953">
            <v>1740989031190</v>
          </cell>
          <cell r="B953">
            <v>6.43</v>
          </cell>
          <cell r="C953">
            <v>75</v>
          </cell>
        </row>
        <row r="954">
          <cell r="A954">
            <v>1740990149590</v>
          </cell>
          <cell r="B954">
            <v>2.82</v>
          </cell>
          <cell r="C954">
            <v>40</v>
          </cell>
        </row>
        <row r="955">
          <cell r="A955">
            <v>1740987042953</v>
          </cell>
          <cell r="B955">
            <v>5.61</v>
          </cell>
          <cell r="C955">
            <v>60</v>
          </cell>
        </row>
        <row r="956">
          <cell r="A956">
            <v>1740638610670</v>
          </cell>
          <cell r="B956">
            <v>12.18</v>
          </cell>
          <cell r="C956">
            <v>130</v>
          </cell>
        </row>
        <row r="957">
          <cell r="A957">
            <v>1744806030601</v>
          </cell>
          <cell r="B957">
            <v>1.32</v>
          </cell>
          <cell r="C957">
            <v>15</v>
          </cell>
        </row>
        <row r="958">
          <cell r="A958">
            <v>1716800301420</v>
          </cell>
          <cell r="B958">
            <v>0.73</v>
          </cell>
          <cell r="C958">
            <v>10</v>
          </cell>
        </row>
        <row r="959">
          <cell r="A959">
            <v>1740985177732</v>
          </cell>
          <cell r="B959">
            <v>6.41</v>
          </cell>
          <cell r="C959">
            <v>65</v>
          </cell>
        </row>
        <row r="960">
          <cell r="A960">
            <v>1741005906881</v>
          </cell>
          <cell r="B960">
            <v>4.5</v>
          </cell>
          <cell r="C960">
            <v>65</v>
          </cell>
        </row>
        <row r="961">
          <cell r="A961">
            <v>1741147495730</v>
          </cell>
          <cell r="B961">
            <v>2.11</v>
          </cell>
          <cell r="C961">
            <v>30</v>
          </cell>
        </row>
        <row r="962">
          <cell r="A962">
            <v>1740815884556</v>
          </cell>
          <cell r="B962">
            <v>5.17</v>
          </cell>
          <cell r="C962">
            <v>70</v>
          </cell>
        </row>
        <row r="963">
          <cell r="A963">
            <v>1740639038713</v>
          </cell>
          <cell r="B963">
            <v>4.5</v>
          </cell>
          <cell r="C963">
            <v>55</v>
          </cell>
        </row>
        <row r="964">
          <cell r="A964">
            <v>1740639653976</v>
          </cell>
          <cell r="B964">
            <v>19</v>
          </cell>
          <cell r="C964">
            <v>200</v>
          </cell>
        </row>
        <row r="965">
          <cell r="A965">
            <v>1740988227743</v>
          </cell>
          <cell r="B965">
            <v>6</v>
          </cell>
          <cell r="C965">
            <v>80</v>
          </cell>
        </row>
        <row r="966">
          <cell r="A966">
            <v>1738063072874</v>
          </cell>
          <cell r="B966">
            <v>7.99</v>
          </cell>
          <cell r="C966">
            <v>80</v>
          </cell>
        </row>
        <row r="967">
          <cell r="A967">
            <v>1742888345045</v>
          </cell>
          <cell r="B967">
            <v>2.5299999999999998</v>
          </cell>
          <cell r="C967">
            <v>30</v>
          </cell>
        </row>
        <row r="968">
          <cell r="A968">
            <v>1742973650735</v>
          </cell>
          <cell r="B968">
            <v>2.23</v>
          </cell>
          <cell r="C968">
            <v>30</v>
          </cell>
        </row>
        <row r="969">
          <cell r="A969">
            <v>1728533520553</v>
          </cell>
          <cell r="B969">
            <v>5.44</v>
          </cell>
          <cell r="C969">
            <v>55</v>
          </cell>
        </row>
        <row r="970">
          <cell r="A970">
            <v>1728532330019</v>
          </cell>
          <cell r="B970">
            <v>1.58</v>
          </cell>
          <cell r="C970">
            <v>20</v>
          </cell>
        </row>
        <row r="971">
          <cell r="A971">
            <v>1742277258102</v>
          </cell>
          <cell r="B971">
            <v>8.5399999999999991</v>
          </cell>
          <cell r="C971">
            <v>90</v>
          </cell>
        </row>
        <row r="972">
          <cell r="A972">
            <v>1728532759087</v>
          </cell>
          <cell r="B972">
            <v>1.84</v>
          </cell>
          <cell r="C972">
            <v>30</v>
          </cell>
        </row>
        <row r="973">
          <cell r="A973">
            <v>1728973218687</v>
          </cell>
          <cell r="B973">
            <v>10.48</v>
          </cell>
          <cell r="C973">
            <v>120</v>
          </cell>
        </row>
        <row r="974">
          <cell r="A974">
            <v>1740803747449</v>
          </cell>
          <cell r="B974">
            <v>2.82</v>
          </cell>
          <cell r="C974">
            <v>40</v>
          </cell>
        </row>
        <row r="975">
          <cell r="A975">
            <v>1729228465741</v>
          </cell>
          <cell r="B975">
            <v>2.5499999999999998</v>
          </cell>
          <cell r="C975">
            <v>25</v>
          </cell>
        </row>
        <row r="976">
          <cell r="A976">
            <v>1742541424684</v>
          </cell>
          <cell r="B976">
            <v>2.87</v>
          </cell>
          <cell r="C976">
            <v>30</v>
          </cell>
        </row>
        <row r="977">
          <cell r="A977">
            <v>1742971714110</v>
          </cell>
          <cell r="B977">
            <v>6.21</v>
          </cell>
          <cell r="C977">
            <v>75</v>
          </cell>
        </row>
        <row r="978">
          <cell r="A978">
            <v>1742793425381</v>
          </cell>
          <cell r="B978">
            <v>1.33</v>
          </cell>
          <cell r="C978">
            <v>15</v>
          </cell>
        </row>
        <row r="979">
          <cell r="A979">
            <v>1743406365966</v>
          </cell>
          <cell r="B979">
            <v>5.98</v>
          </cell>
          <cell r="C979">
            <v>70</v>
          </cell>
        </row>
        <row r="980">
          <cell r="A980">
            <v>1728533447418</v>
          </cell>
          <cell r="B980">
            <v>10.53</v>
          </cell>
          <cell r="C980">
            <v>115</v>
          </cell>
        </row>
        <row r="981">
          <cell r="A981">
            <v>1743149769955</v>
          </cell>
          <cell r="B981">
            <v>1.68</v>
          </cell>
          <cell r="C981">
            <v>15</v>
          </cell>
        </row>
        <row r="982">
          <cell r="A982">
            <v>1723271230375</v>
          </cell>
          <cell r="B982">
            <v>3.07</v>
          </cell>
          <cell r="C982">
            <v>30</v>
          </cell>
        </row>
        <row r="983">
          <cell r="A983">
            <v>1744090579323</v>
          </cell>
          <cell r="B983">
            <v>6.49</v>
          </cell>
          <cell r="C983">
            <v>80</v>
          </cell>
        </row>
        <row r="984">
          <cell r="A984">
            <v>1744256677897</v>
          </cell>
          <cell r="B984">
            <v>4.34</v>
          </cell>
          <cell r="C984">
            <v>50</v>
          </cell>
        </row>
        <row r="985">
          <cell r="A985">
            <v>1739778464089</v>
          </cell>
          <cell r="B985">
            <v>10.49</v>
          </cell>
          <cell r="C985">
            <v>120</v>
          </cell>
        </row>
        <row r="986">
          <cell r="A986">
            <v>1748587560548</v>
          </cell>
          <cell r="B986">
            <v>13.49</v>
          </cell>
          <cell r="C986">
            <v>150</v>
          </cell>
        </row>
        <row r="987">
          <cell r="A987">
            <v>1738907991191</v>
          </cell>
          <cell r="B987">
            <v>3.88</v>
          </cell>
          <cell r="C987">
            <v>40</v>
          </cell>
        </row>
        <row r="988">
          <cell r="A988">
            <v>1727757984735</v>
          </cell>
          <cell r="B988">
            <v>4.16</v>
          </cell>
          <cell r="C988">
            <v>50</v>
          </cell>
        </row>
        <row r="989">
          <cell r="A989">
            <v>1748586231756</v>
          </cell>
          <cell r="B989">
            <v>8.5</v>
          </cell>
          <cell r="C989">
            <v>80</v>
          </cell>
        </row>
        <row r="990">
          <cell r="A990">
            <v>1744254446797</v>
          </cell>
          <cell r="B990">
            <v>11.59</v>
          </cell>
          <cell r="C990">
            <v>140</v>
          </cell>
        </row>
        <row r="991">
          <cell r="A991">
            <v>1748587086191</v>
          </cell>
          <cell r="B991">
            <v>6.37</v>
          </cell>
          <cell r="C991">
            <v>80</v>
          </cell>
        </row>
        <row r="992">
          <cell r="A992">
            <v>1748940535367</v>
          </cell>
          <cell r="B992">
            <v>3.21</v>
          </cell>
          <cell r="C992">
            <v>30</v>
          </cell>
        </row>
        <row r="993">
          <cell r="A993">
            <v>1745459703785</v>
          </cell>
          <cell r="B993">
            <v>6.4</v>
          </cell>
          <cell r="C993">
            <v>95</v>
          </cell>
        </row>
        <row r="994">
          <cell r="A994">
            <v>1748587947275</v>
          </cell>
          <cell r="B994">
            <v>3.71</v>
          </cell>
          <cell r="C994">
            <v>40</v>
          </cell>
        </row>
        <row r="995">
          <cell r="A995">
            <v>1743844089817</v>
          </cell>
          <cell r="B995">
            <v>2.79</v>
          </cell>
          <cell r="C995">
            <v>30</v>
          </cell>
        </row>
        <row r="996">
          <cell r="A996">
            <v>1749024028404</v>
          </cell>
          <cell r="B996">
            <v>5.37</v>
          </cell>
          <cell r="C996">
            <v>70</v>
          </cell>
        </row>
        <row r="997">
          <cell r="A997">
            <v>1711695466709</v>
          </cell>
          <cell r="B997">
            <v>3.16</v>
          </cell>
          <cell r="C997">
            <v>40</v>
          </cell>
        </row>
        <row r="998">
          <cell r="A998">
            <v>1744350539011</v>
          </cell>
          <cell r="B998">
            <v>3.75</v>
          </cell>
          <cell r="C998">
            <v>40</v>
          </cell>
        </row>
        <row r="999">
          <cell r="A999">
            <v>1733215591736</v>
          </cell>
          <cell r="B999">
            <v>3.59</v>
          </cell>
          <cell r="C999">
            <v>55</v>
          </cell>
        </row>
        <row r="1000">
          <cell r="A1000">
            <v>1738917934583</v>
          </cell>
          <cell r="B1000">
            <v>2.85</v>
          </cell>
          <cell r="C1000">
            <v>30</v>
          </cell>
        </row>
        <row r="1001">
          <cell r="A1001">
            <v>1726467260482</v>
          </cell>
          <cell r="B1001">
            <v>6.34</v>
          </cell>
          <cell r="C1001">
            <v>65</v>
          </cell>
        </row>
        <row r="1002">
          <cell r="A1002">
            <v>1713760205786</v>
          </cell>
          <cell r="B1002">
            <v>4.92</v>
          </cell>
          <cell r="C1002">
            <v>50</v>
          </cell>
        </row>
        <row r="1003">
          <cell r="A1003">
            <v>1749522953994</v>
          </cell>
          <cell r="B1003">
            <v>5.26</v>
          </cell>
          <cell r="C1003">
            <v>55</v>
          </cell>
        </row>
        <row r="1004">
          <cell r="A1004">
            <v>1742959817431</v>
          </cell>
          <cell r="B1004">
            <v>1.98</v>
          </cell>
          <cell r="C1004">
            <v>20</v>
          </cell>
        </row>
        <row r="1005">
          <cell r="A1005">
            <v>1743238334460</v>
          </cell>
          <cell r="B1005">
            <v>2.15</v>
          </cell>
          <cell r="C1005">
            <v>30</v>
          </cell>
        </row>
        <row r="1006">
          <cell r="A1006">
            <v>1742364688282</v>
          </cell>
          <cell r="B1006">
            <v>1.87</v>
          </cell>
          <cell r="C1006">
            <v>20</v>
          </cell>
        </row>
        <row r="1007">
          <cell r="A1007">
            <v>1742357919621</v>
          </cell>
          <cell r="B1007">
            <v>2.0099999999999998</v>
          </cell>
          <cell r="C1007">
            <v>25</v>
          </cell>
        </row>
        <row r="1008">
          <cell r="A1008">
            <v>1742959618539</v>
          </cell>
          <cell r="B1008">
            <v>1.76</v>
          </cell>
          <cell r="C1008">
            <v>20</v>
          </cell>
        </row>
        <row r="1009">
          <cell r="A1009">
            <v>1742800025053</v>
          </cell>
          <cell r="B1009">
            <v>3.93</v>
          </cell>
          <cell r="C1009">
            <v>45</v>
          </cell>
        </row>
        <row r="1010">
          <cell r="A1010">
            <v>1742361392825</v>
          </cell>
          <cell r="B1010">
            <v>3.87</v>
          </cell>
          <cell r="C1010">
            <v>50</v>
          </cell>
        </row>
        <row r="1011">
          <cell r="A1011">
            <v>1741151488247</v>
          </cell>
          <cell r="B1011">
            <v>11.37</v>
          </cell>
          <cell r="C1011">
            <v>125</v>
          </cell>
        </row>
        <row r="1012">
          <cell r="A1012">
            <v>1737528687763</v>
          </cell>
          <cell r="B1012">
            <v>2.36</v>
          </cell>
          <cell r="C1012">
            <v>20</v>
          </cell>
        </row>
        <row r="1013">
          <cell r="A1013">
            <v>1739166335601</v>
          </cell>
          <cell r="B1013">
            <v>1.7</v>
          </cell>
          <cell r="C1013">
            <v>20</v>
          </cell>
        </row>
        <row r="1014">
          <cell r="A1014">
            <v>1740974792012</v>
          </cell>
          <cell r="B1014">
            <v>4.03</v>
          </cell>
          <cell r="C1014">
            <v>70</v>
          </cell>
        </row>
        <row r="1015">
          <cell r="A1015">
            <v>1742796150554</v>
          </cell>
          <cell r="B1015">
            <v>19.309999999999999</v>
          </cell>
          <cell r="C1015">
            <v>200</v>
          </cell>
        </row>
        <row r="1016">
          <cell r="A1016">
            <v>1742289203443</v>
          </cell>
          <cell r="B1016">
            <v>5.77</v>
          </cell>
          <cell r="C1016">
            <v>65</v>
          </cell>
        </row>
        <row r="1017">
          <cell r="A1017">
            <v>1743153670987</v>
          </cell>
          <cell r="B1017">
            <v>1.25</v>
          </cell>
          <cell r="C1017">
            <v>15</v>
          </cell>
        </row>
        <row r="1018">
          <cell r="A1018">
            <v>1739253512722</v>
          </cell>
          <cell r="B1018">
            <v>2.2799999999999998</v>
          </cell>
          <cell r="C1018">
            <v>25</v>
          </cell>
        </row>
        <row r="1019">
          <cell r="A1019">
            <v>1742364882726</v>
          </cell>
          <cell r="B1019">
            <v>1.4</v>
          </cell>
          <cell r="C1019">
            <v>25</v>
          </cell>
        </row>
        <row r="1020">
          <cell r="A1020">
            <v>1743503280437</v>
          </cell>
          <cell r="B1020">
            <v>8.7100000000000009</v>
          </cell>
          <cell r="C1020">
            <v>110</v>
          </cell>
        </row>
        <row r="1021">
          <cell r="A1021">
            <v>1742280444555</v>
          </cell>
          <cell r="B1021">
            <v>2.0299999999999998</v>
          </cell>
          <cell r="C1021">
            <v>30</v>
          </cell>
        </row>
        <row r="1022">
          <cell r="A1022">
            <v>1743044301274</v>
          </cell>
          <cell r="B1022">
            <v>4.38</v>
          </cell>
          <cell r="C1022">
            <v>50</v>
          </cell>
        </row>
        <row r="1023">
          <cell r="A1023">
            <v>1737530941230</v>
          </cell>
          <cell r="B1023">
            <v>2.86</v>
          </cell>
          <cell r="C1023">
            <v>30</v>
          </cell>
        </row>
        <row r="1024">
          <cell r="A1024">
            <v>1742459252349</v>
          </cell>
          <cell r="B1024">
            <v>4.21</v>
          </cell>
          <cell r="C1024">
            <v>45</v>
          </cell>
        </row>
        <row r="1025">
          <cell r="A1025">
            <v>1730269159515</v>
          </cell>
          <cell r="B1025">
            <v>1.61</v>
          </cell>
          <cell r="C1025">
            <v>20</v>
          </cell>
        </row>
        <row r="1026">
          <cell r="A1026">
            <v>1737276082317</v>
          </cell>
          <cell r="B1026">
            <v>4.37</v>
          </cell>
          <cell r="C1026">
            <v>50</v>
          </cell>
        </row>
        <row r="1027">
          <cell r="A1027">
            <v>1739163574704</v>
          </cell>
          <cell r="B1027">
            <v>1.03</v>
          </cell>
          <cell r="C1027">
            <v>15</v>
          </cell>
        </row>
        <row r="1028">
          <cell r="A1028">
            <v>1730268090845</v>
          </cell>
          <cell r="B1028">
            <v>7.27</v>
          </cell>
          <cell r="C1028">
            <v>85</v>
          </cell>
        </row>
        <row r="1029">
          <cell r="A1029">
            <v>1715585262923</v>
          </cell>
          <cell r="B1029">
            <v>6.83</v>
          </cell>
          <cell r="C1029">
            <v>75</v>
          </cell>
        </row>
        <row r="1030">
          <cell r="A1030">
            <v>1747289849072</v>
          </cell>
          <cell r="B1030">
            <v>13.13</v>
          </cell>
          <cell r="C1030">
            <v>145</v>
          </cell>
        </row>
        <row r="1031">
          <cell r="A1031">
            <v>1728108445318</v>
          </cell>
          <cell r="B1031">
            <v>2.78</v>
          </cell>
          <cell r="C1031">
            <v>25</v>
          </cell>
        </row>
        <row r="1032">
          <cell r="A1032">
            <v>1728368717684</v>
          </cell>
          <cell r="B1032">
            <v>5.78</v>
          </cell>
          <cell r="C1032">
            <v>60</v>
          </cell>
        </row>
        <row r="1033">
          <cell r="A1033">
            <v>1730188094965</v>
          </cell>
          <cell r="B1033">
            <v>2.35</v>
          </cell>
          <cell r="C1033">
            <v>30</v>
          </cell>
        </row>
        <row r="1034">
          <cell r="A1034">
            <v>1722239304097</v>
          </cell>
          <cell r="B1034">
            <v>3.72</v>
          </cell>
          <cell r="C1034">
            <v>50</v>
          </cell>
        </row>
        <row r="1035">
          <cell r="A1035">
            <v>1729148102933</v>
          </cell>
          <cell r="B1035">
            <v>11.96</v>
          </cell>
          <cell r="C1035">
            <v>155</v>
          </cell>
        </row>
        <row r="1036">
          <cell r="A1036">
            <v>1736406579058</v>
          </cell>
          <cell r="B1036">
            <v>5.36</v>
          </cell>
          <cell r="C1036">
            <v>50</v>
          </cell>
        </row>
        <row r="1037">
          <cell r="A1037">
            <v>1746959097206</v>
          </cell>
          <cell r="B1037">
            <v>5.53</v>
          </cell>
          <cell r="C1037">
            <v>65</v>
          </cell>
        </row>
        <row r="1038">
          <cell r="A1038">
            <v>1747300706091</v>
          </cell>
          <cell r="B1038">
            <v>8</v>
          </cell>
          <cell r="C1038">
            <v>85</v>
          </cell>
        </row>
        <row r="1039">
          <cell r="A1039">
            <v>1744708723479</v>
          </cell>
          <cell r="B1039">
            <v>6.35</v>
          </cell>
          <cell r="C1039">
            <v>70</v>
          </cell>
        </row>
        <row r="1040">
          <cell r="A1040">
            <v>1737962159355</v>
          </cell>
          <cell r="B1040">
            <v>17.829999999999998</v>
          </cell>
          <cell r="C1040">
            <v>175</v>
          </cell>
        </row>
        <row r="1041">
          <cell r="A1041">
            <v>1745644576469</v>
          </cell>
          <cell r="B1041">
            <v>11.3</v>
          </cell>
          <cell r="C1041">
            <v>110</v>
          </cell>
        </row>
        <row r="1042">
          <cell r="A1042">
            <v>1737529628871</v>
          </cell>
          <cell r="B1042">
            <v>1.6</v>
          </cell>
          <cell r="C1042">
            <v>15</v>
          </cell>
        </row>
        <row r="1043">
          <cell r="A1043">
            <v>1736406034747</v>
          </cell>
          <cell r="B1043">
            <v>4.03</v>
          </cell>
          <cell r="C1043">
            <v>35</v>
          </cell>
        </row>
        <row r="1044">
          <cell r="A1044">
            <v>1729237192910</v>
          </cell>
          <cell r="B1044">
            <v>6.54</v>
          </cell>
          <cell r="C1044">
            <v>75</v>
          </cell>
        </row>
        <row r="1045">
          <cell r="A1045">
            <v>1737529750458</v>
          </cell>
          <cell r="B1045">
            <v>1.64</v>
          </cell>
          <cell r="C1045">
            <v>25</v>
          </cell>
        </row>
        <row r="1046">
          <cell r="A1046">
            <v>1737528799691</v>
          </cell>
          <cell r="B1046">
            <v>0.8</v>
          </cell>
          <cell r="C1046">
            <v>10</v>
          </cell>
        </row>
        <row r="1047">
          <cell r="A1047">
            <v>1737954674280</v>
          </cell>
          <cell r="B1047">
            <v>3.56</v>
          </cell>
          <cell r="C1047">
            <v>50</v>
          </cell>
        </row>
        <row r="1048">
          <cell r="A1048">
            <v>1737529414885</v>
          </cell>
          <cell r="B1048">
            <v>1.7</v>
          </cell>
          <cell r="C1048">
            <v>15</v>
          </cell>
        </row>
        <row r="1049">
          <cell r="A1049">
            <v>1715581901650</v>
          </cell>
          <cell r="B1049">
            <v>2.0099999999999998</v>
          </cell>
          <cell r="C1049">
            <v>20</v>
          </cell>
        </row>
        <row r="1050">
          <cell r="A1050">
            <v>1738732079965</v>
          </cell>
          <cell r="B1050">
            <v>0.89</v>
          </cell>
          <cell r="C1050">
            <v>20</v>
          </cell>
        </row>
        <row r="1051">
          <cell r="A1051">
            <v>1738826733196</v>
          </cell>
          <cell r="B1051">
            <v>1.22</v>
          </cell>
          <cell r="C1051">
            <v>20</v>
          </cell>
        </row>
        <row r="1052">
          <cell r="A1052">
            <v>1739425483870</v>
          </cell>
          <cell r="B1052">
            <v>2.1800000000000002</v>
          </cell>
          <cell r="C1052">
            <v>20</v>
          </cell>
        </row>
        <row r="1053">
          <cell r="A1053">
            <v>1737613348962</v>
          </cell>
          <cell r="B1053">
            <v>4.43</v>
          </cell>
          <cell r="C1053">
            <v>50</v>
          </cell>
        </row>
        <row r="1054">
          <cell r="A1054">
            <v>1744690640318</v>
          </cell>
          <cell r="B1054">
            <v>6.13</v>
          </cell>
          <cell r="C1054">
            <v>65</v>
          </cell>
        </row>
        <row r="1055">
          <cell r="A1055">
            <v>1744531854107</v>
          </cell>
          <cell r="B1055">
            <v>2.73</v>
          </cell>
          <cell r="C1055">
            <v>30</v>
          </cell>
        </row>
        <row r="1056">
          <cell r="A1056">
            <v>1744780601270</v>
          </cell>
          <cell r="B1056">
            <v>1.45</v>
          </cell>
          <cell r="C1056">
            <v>15</v>
          </cell>
        </row>
        <row r="1057">
          <cell r="A1057">
            <v>1745841947028</v>
          </cell>
          <cell r="B1057">
            <v>3.16</v>
          </cell>
          <cell r="C1057">
            <v>35</v>
          </cell>
        </row>
        <row r="1058">
          <cell r="A1058">
            <v>1737529491252</v>
          </cell>
          <cell r="B1058">
            <v>2.1</v>
          </cell>
          <cell r="C1058">
            <v>20</v>
          </cell>
        </row>
        <row r="1059">
          <cell r="A1059">
            <v>1740476801441</v>
          </cell>
          <cell r="B1059">
            <v>5.92</v>
          </cell>
          <cell r="C1059">
            <v>75</v>
          </cell>
        </row>
        <row r="1060">
          <cell r="A1060">
            <v>1737529237217</v>
          </cell>
          <cell r="B1060">
            <v>8.0500000000000007</v>
          </cell>
          <cell r="C1060">
            <v>115</v>
          </cell>
        </row>
        <row r="1061">
          <cell r="A1061">
            <v>1737617398271</v>
          </cell>
          <cell r="B1061">
            <v>4.42</v>
          </cell>
          <cell r="C1061">
            <v>45</v>
          </cell>
        </row>
        <row r="1062">
          <cell r="A1062">
            <v>1746684639631</v>
          </cell>
          <cell r="B1062">
            <v>6.57</v>
          </cell>
          <cell r="C1062">
            <v>70</v>
          </cell>
        </row>
        <row r="1063">
          <cell r="A1063">
            <v>1745924029644</v>
          </cell>
          <cell r="B1063">
            <v>2.73</v>
          </cell>
          <cell r="C1063">
            <v>25</v>
          </cell>
        </row>
        <row r="1064">
          <cell r="A1064">
            <v>1746589466787</v>
          </cell>
          <cell r="B1064">
            <v>0.94</v>
          </cell>
          <cell r="C1064">
            <v>10</v>
          </cell>
        </row>
        <row r="1065">
          <cell r="A1065">
            <v>1744984345172</v>
          </cell>
          <cell r="B1065">
            <v>0.8</v>
          </cell>
          <cell r="C1065">
            <v>10</v>
          </cell>
        </row>
        <row r="1066">
          <cell r="A1066">
            <v>1744817343694</v>
          </cell>
          <cell r="B1066">
            <v>6.46</v>
          </cell>
          <cell r="C1066">
            <v>65</v>
          </cell>
        </row>
        <row r="1067">
          <cell r="A1067">
            <v>1743410779338</v>
          </cell>
          <cell r="B1067">
            <v>13.59</v>
          </cell>
          <cell r="C1067">
            <v>135</v>
          </cell>
        </row>
        <row r="1068">
          <cell r="A1068">
            <v>1715750222708</v>
          </cell>
          <cell r="B1068">
            <v>15.08</v>
          </cell>
          <cell r="C1068">
            <v>155</v>
          </cell>
        </row>
        <row r="1069">
          <cell r="A1069">
            <v>1737529310660</v>
          </cell>
          <cell r="B1069">
            <v>1.48</v>
          </cell>
          <cell r="C1069">
            <v>15</v>
          </cell>
        </row>
        <row r="1070">
          <cell r="A1070">
            <v>1723973965240</v>
          </cell>
          <cell r="B1070">
            <v>1.81</v>
          </cell>
          <cell r="C1070">
            <v>20</v>
          </cell>
        </row>
        <row r="1071">
          <cell r="A1071">
            <v>1742555313178</v>
          </cell>
          <cell r="B1071">
            <v>22.78</v>
          </cell>
          <cell r="C1071">
            <v>230</v>
          </cell>
        </row>
        <row r="1072">
          <cell r="A1072">
            <v>1742536468926</v>
          </cell>
          <cell r="B1072">
            <v>6.72</v>
          </cell>
          <cell r="C1072">
            <v>75</v>
          </cell>
        </row>
        <row r="1073">
          <cell r="A1073">
            <v>1742534530076</v>
          </cell>
          <cell r="B1073">
            <v>4.6500000000000004</v>
          </cell>
          <cell r="C1073">
            <v>50</v>
          </cell>
        </row>
        <row r="1074">
          <cell r="A1074">
            <v>1742971166947</v>
          </cell>
          <cell r="B1074">
            <v>1.97</v>
          </cell>
          <cell r="C1074">
            <v>25</v>
          </cell>
        </row>
        <row r="1075">
          <cell r="A1075">
            <v>1742623787176</v>
          </cell>
          <cell r="B1075">
            <v>12.72</v>
          </cell>
          <cell r="C1075">
            <v>150</v>
          </cell>
        </row>
        <row r="1076">
          <cell r="A1076">
            <v>1743218607443</v>
          </cell>
          <cell r="B1076">
            <v>4.76</v>
          </cell>
          <cell r="C1076">
            <v>55</v>
          </cell>
        </row>
        <row r="1077">
          <cell r="A1077">
            <v>1742544393991</v>
          </cell>
          <cell r="B1077">
            <v>7.38</v>
          </cell>
          <cell r="C1077">
            <v>85</v>
          </cell>
        </row>
        <row r="1078">
          <cell r="A1078">
            <v>1743410538937</v>
          </cell>
          <cell r="B1078">
            <v>7.92</v>
          </cell>
          <cell r="C1078">
            <v>75</v>
          </cell>
        </row>
        <row r="1079">
          <cell r="A1079">
            <v>1742447182102</v>
          </cell>
          <cell r="B1079">
            <v>2.2400000000000002</v>
          </cell>
          <cell r="C1079">
            <v>30</v>
          </cell>
        </row>
        <row r="1080">
          <cell r="A1080">
            <v>1743573748488</v>
          </cell>
          <cell r="B1080">
            <v>2.04</v>
          </cell>
          <cell r="C1080">
            <v>20</v>
          </cell>
        </row>
        <row r="1081">
          <cell r="A1081">
            <v>1728533736551</v>
          </cell>
          <cell r="B1081">
            <v>2.33</v>
          </cell>
          <cell r="C1081">
            <v>30</v>
          </cell>
        </row>
        <row r="1082">
          <cell r="A1082">
            <v>1742447351176</v>
          </cell>
          <cell r="B1082">
            <v>3.07</v>
          </cell>
          <cell r="C1082">
            <v>35</v>
          </cell>
        </row>
        <row r="1083">
          <cell r="A1083">
            <v>1742453082720</v>
          </cell>
          <cell r="B1083">
            <v>1.24</v>
          </cell>
          <cell r="C1083">
            <v>15</v>
          </cell>
        </row>
        <row r="1084">
          <cell r="A1084">
            <v>1728451383498</v>
          </cell>
          <cell r="B1084">
            <v>5.57</v>
          </cell>
          <cell r="C1084">
            <v>55</v>
          </cell>
        </row>
        <row r="1085">
          <cell r="A1085">
            <v>1737528571916</v>
          </cell>
          <cell r="B1085">
            <v>6</v>
          </cell>
          <cell r="C1085">
            <v>60</v>
          </cell>
        </row>
        <row r="1086">
          <cell r="A1086">
            <v>1738651372030</v>
          </cell>
          <cell r="B1086">
            <v>12.66</v>
          </cell>
          <cell r="C1086">
            <v>115</v>
          </cell>
        </row>
        <row r="1087">
          <cell r="A1087">
            <v>1738140177475</v>
          </cell>
          <cell r="B1087">
            <v>1.44</v>
          </cell>
          <cell r="C1087">
            <v>15</v>
          </cell>
        </row>
        <row r="1088">
          <cell r="A1088">
            <v>1734326973240</v>
          </cell>
          <cell r="B1088">
            <v>3.4</v>
          </cell>
          <cell r="C1088">
            <v>90</v>
          </cell>
        </row>
        <row r="1089">
          <cell r="A1089">
            <v>1731568475807</v>
          </cell>
          <cell r="B1089">
            <v>3.8</v>
          </cell>
          <cell r="C1089">
            <v>60</v>
          </cell>
        </row>
        <row r="1090">
          <cell r="A1090">
            <v>1734421201560</v>
          </cell>
          <cell r="B1090">
            <v>0.69</v>
          </cell>
          <cell r="C1090">
            <v>10</v>
          </cell>
        </row>
        <row r="1091">
          <cell r="A1091">
            <v>1731991584854</v>
          </cell>
          <cell r="B1091">
            <v>2.74</v>
          </cell>
          <cell r="C1091">
            <v>80</v>
          </cell>
        </row>
        <row r="1092">
          <cell r="A1092">
            <v>1741762075624</v>
          </cell>
          <cell r="B1092">
            <v>2.96</v>
          </cell>
          <cell r="C1092">
            <v>30</v>
          </cell>
        </row>
        <row r="1093">
          <cell r="A1093">
            <v>1741595678187</v>
          </cell>
          <cell r="B1093">
            <v>5.37</v>
          </cell>
          <cell r="C1093">
            <v>80</v>
          </cell>
        </row>
        <row r="1094">
          <cell r="A1094">
            <v>1741239364321</v>
          </cell>
          <cell r="B1094">
            <v>5.64</v>
          </cell>
          <cell r="C1094">
            <v>80</v>
          </cell>
        </row>
        <row r="1095">
          <cell r="A1095">
            <v>1741320462202</v>
          </cell>
          <cell r="B1095">
            <v>9.3800000000000008</v>
          </cell>
          <cell r="C1095">
            <v>165</v>
          </cell>
        </row>
        <row r="1096">
          <cell r="A1096">
            <v>1741238815104</v>
          </cell>
          <cell r="B1096">
            <v>5.89</v>
          </cell>
          <cell r="C1096">
            <v>70</v>
          </cell>
        </row>
        <row r="1097">
          <cell r="A1097">
            <v>1741411868331</v>
          </cell>
          <cell r="B1097">
            <v>4.59</v>
          </cell>
          <cell r="C1097">
            <v>50</v>
          </cell>
        </row>
        <row r="1098">
          <cell r="A1098">
            <v>1741331158853</v>
          </cell>
          <cell r="B1098">
            <v>9.65</v>
          </cell>
          <cell r="C1098">
            <v>110</v>
          </cell>
        </row>
        <row r="1099">
          <cell r="A1099">
            <v>1741413533689</v>
          </cell>
          <cell r="B1099">
            <v>6.08</v>
          </cell>
          <cell r="C1099">
            <v>80</v>
          </cell>
        </row>
        <row r="1100">
          <cell r="A1100">
            <v>1741678193228</v>
          </cell>
          <cell r="B1100">
            <v>5.87</v>
          </cell>
          <cell r="C1100">
            <v>105</v>
          </cell>
        </row>
        <row r="1101">
          <cell r="A1101">
            <v>1741412964964</v>
          </cell>
          <cell r="B1101">
            <v>15.05</v>
          </cell>
          <cell r="C1101">
            <v>195</v>
          </cell>
        </row>
        <row r="1102">
          <cell r="A1102">
            <v>1741414120347</v>
          </cell>
          <cell r="B1102">
            <v>6.41</v>
          </cell>
          <cell r="C1102">
            <v>90</v>
          </cell>
        </row>
        <row r="1103">
          <cell r="A1103">
            <v>1741843193904</v>
          </cell>
          <cell r="B1103">
            <v>2.87</v>
          </cell>
          <cell r="C1103">
            <v>30</v>
          </cell>
        </row>
        <row r="1104">
          <cell r="A1104">
            <v>1738663658664</v>
          </cell>
          <cell r="B1104">
            <v>19.690000000000001</v>
          </cell>
          <cell r="C1104">
            <v>205</v>
          </cell>
        </row>
        <row r="1105">
          <cell r="A1105">
            <v>1728532606110</v>
          </cell>
          <cell r="B1105">
            <v>2.62</v>
          </cell>
          <cell r="C1105">
            <v>45</v>
          </cell>
        </row>
        <row r="1106">
          <cell r="A1106">
            <v>1728532395324</v>
          </cell>
          <cell r="B1106">
            <v>0.96</v>
          </cell>
          <cell r="C1106">
            <v>10</v>
          </cell>
        </row>
        <row r="1107">
          <cell r="A1107">
            <v>1738307738248</v>
          </cell>
          <cell r="B1107">
            <v>2.69</v>
          </cell>
          <cell r="C1107">
            <v>35</v>
          </cell>
        </row>
        <row r="1108">
          <cell r="A1108">
            <v>1738044688368</v>
          </cell>
          <cell r="B1108">
            <v>1.99</v>
          </cell>
          <cell r="C1108">
            <v>20</v>
          </cell>
        </row>
        <row r="1109">
          <cell r="A1109">
            <v>1715586952623</v>
          </cell>
          <cell r="B1109">
            <v>14.43</v>
          </cell>
          <cell r="C1109">
            <v>150</v>
          </cell>
        </row>
        <row r="1110">
          <cell r="A1110">
            <v>1729065578270</v>
          </cell>
          <cell r="B1110">
            <v>4.3099999999999996</v>
          </cell>
          <cell r="C1110">
            <v>55</v>
          </cell>
        </row>
        <row r="1111">
          <cell r="A1111">
            <v>1729150156620</v>
          </cell>
          <cell r="B1111">
            <v>8.56</v>
          </cell>
          <cell r="C1111">
            <v>50</v>
          </cell>
        </row>
        <row r="1112">
          <cell r="A1112">
            <v>1729144271417</v>
          </cell>
          <cell r="B1112">
            <v>7.2</v>
          </cell>
          <cell r="C1112">
            <v>70</v>
          </cell>
        </row>
        <row r="1113">
          <cell r="A1113">
            <v>1716870887501</v>
          </cell>
          <cell r="B1113">
            <v>6.83</v>
          </cell>
          <cell r="C1113">
            <v>75</v>
          </cell>
        </row>
        <row r="1114">
          <cell r="A1114">
            <v>1744988962503</v>
          </cell>
          <cell r="B1114">
            <v>5.87</v>
          </cell>
          <cell r="C1114">
            <v>60</v>
          </cell>
        </row>
        <row r="1115">
          <cell r="A1115">
            <v>1744867672664</v>
          </cell>
          <cell r="B1115">
            <v>2.88</v>
          </cell>
          <cell r="C1115">
            <v>30</v>
          </cell>
        </row>
        <row r="1116">
          <cell r="A1116">
            <v>1744785172897</v>
          </cell>
          <cell r="B1116">
            <v>1.99</v>
          </cell>
          <cell r="C1116">
            <v>25</v>
          </cell>
        </row>
        <row r="1117">
          <cell r="A1117">
            <v>1743574071617</v>
          </cell>
          <cell r="B1117">
            <v>4.04</v>
          </cell>
          <cell r="C1117">
            <v>40</v>
          </cell>
        </row>
        <row r="1118">
          <cell r="A1118">
            <v>1742805172236</v>
          </cell>
          <cell r="B1118">
            <v>10.72</v>
          </cell>
          <cell r="C1118">
            <v>90</v>
          </cell>
        </row>
        <row r="1119">
          <cell r="A1119">
            <v>1744548815131</v>
          </cell>
          <cell r="B1119">
            <v>6.75</v>
          </cell>
          <cell r="C1119">
            <v>70</v>
          </cell>
        </row>
        <row r="1120">
          <cell r="A1120">
            <v>1745487120059</v>
          </cell>
          <cell r="B1120">
            <v>5.83</v>
          </cell>
          <cell r="C1120">
            <v>60</v>
          </cell>
        </row>
        <row r="1121">
          <cell r="A1121">
            <v>1747722677068</v>
          </cell>
          <cell r="B1121">
            <v>2.0499999999999998</v>
          </cell>
          <cell r="C1121">
            <v>20</v>
          </cell>
        </row>
        <row r="1122">
          <cell r="A1122">
            <v>1730191849761</v>
          </cell>
          <cell r="B1122">
            <v>11.51</v>
          </cell>
          <cell r="C1122">
            <v>120</v>
          </cell>
        </row>
        <row r="1123">
          <cell r="A1123">
            <v>1744116135001</v>
          </cell>
          <cell r="B1123">
            <v>3.47</v>
          </cell>
          <cell r="C1123">
            <v>35</v>
          </cell>
        </row>
        <row r="1124">
          <cell r="A1124">
            <v>1738065208721</v>
          </cell>
          <cell r="B1124">
            <v>9.14</v>
          </cell>
          <cell r="C1124">
            <v>105</v>
          </cell>
        </row>
        <row r="1125">
          <cell r="A1125">
            <v>1738043697698</v>
          </cell>
          <cell r="B1125">
            <v>5.41</v>
          </cell>
          <cell r="C1125">
            <v>60</v>
          </cell>
        </row>
        <row r="1126">
          <cell r="A1126">
            <v>1739002593811</v>
          </cell>
          <cell r="B1126">
            <v>0.74</v>
          </cell>
          <cell r="C1126">
            <v>20</v>
          </cell>
        </row>
        <row r="1127">
          <cell r="A1127">
            <v>1737607907393</v>
          </cell>
          <cell r="B1127">
            <v>6.09</v>
          </cell>
          <cell r="C1127">
            <v>55</v>
          </cell>
        </row>
        <row r="1128">
          <cell r="A1128">
            <v>1738652875110</v>
          </cell>
          <cell r="B1128">
            <v>1.77</v>
          </cell>
          <cell r="C1128">
            <v>30</v>
          </cell>
        </row>
        <row r="1129">
          <cell r="A1129">
            <v>1737793185800</v>
          </cell>
          <cell r="B1129">
            <v>6.3</v>
          </cell>
          <cell r="C1129">
            <v>59</v>
          </cell>
        </row>
        <row r="1130">
          <cell r="A1130">
            <v>1737530412313</v>
          </cell>
          <cell r="B1130">
            <v>9.16</v>
          </cell>
          <cell r="C1130">
            <v>90</v>
          </cell>
        </row>
        <row r="1131">
          <cell r="A1131">
            <v>1739006901771</v>
          </cell>
          <cell r="B1131">
            <v>8.82</v>
          </cell>
          <cell r="C1131">
            <v>80</v>
          </cell>
        </row>
        <row r="1132">
          <cell r="A1132">
            <v>1737615084492</v>
          </cell>
          <cell r="B1132">
            <v>14.63</v>
          </cell>
          <cell r="C1132">
            <v>175</v>
          </cell>
        </row>
        <row r="1133">
          <cell r="A1133">
            <v>1737529098764</v>
          </cell>
          <cell r="B1133">
            <v>6.75</v>
          </cell>
          <cell r="C1133">
            <v>110</v>
          </cell>
        </row>
        <row r="1134">
          <cell r="A1134">
            <v>1737529892713</v>
          </cell>
          <cell r="B1134">
            <v>12.73</v>
          </cell>
          <cell r="C1134">
            <v>130</v>
          </cell>
        </row>
        <row r="1135">
          <cell r="A1135">
            <v>1737530013473</v>
          </cell>
          <cell r="B1135">
            <v>2.0299999999999998</v>
          </cell>
          <cell r="C1135">
            <v>45</v>
          </cell>
        </row>
        <row r="1136">
          <cell r="A1136">
            <v>1742376814686</v>
          </cell>
          <cell r="B1136">
            <v>13.24</v>
          </cell>
          <cell r="C1136">
            <v>175</v>
          </cell>
        </row>
        <row r="1137">
          <cell r="A1137">
            <v>1737531409374</v>
          </cell>
          <cell r="B1137">
            <v>3.21</v>
          </cell>
          <cell r="C1137">
            <v>60</v>
          </cell>
        </row>
        <row r="1138">
          <cell r="A1138">
            <v>1742381270893</v>
          </cell>
          <cell r="B1138">
            <v>14.21</v>
          </cell>
          <cell r="C1138">
            <v>150</v>
          </cell>
        </row>
        <row r="1139">
          <cell r="A1139">
            <v>1743755695153</v>
          </cell>
          <cell r="B1139">
            <v>11.79</v>
          </cell>
          <cell r="C1139">
            <v>115</v>
          </cell>
        </row>
        <row r="1140">
          <cell r="A1140">
            <v>1737531098478</v>
          </cell>
          <cell r="B1140">
            <v>2.62</v>
          </cell>
          <cell r="C1140">
            <v>25</v>
          </cell>
        </row>
        <row r="1141">
          <cell r="A1141">
            <v>1737529670930</v>
          </cell>
          <cell r="B1141">
            <v>5.74</v>
          </cell>
          <cell r="C1141">
            <v>55</v>
          </cell>
        </row>
        <row r="1142">
          <cell r="A1142">
            <v>1744270871147</v>
          </cell>
          <cell r="B1142">
            <v>15.73</v>
          </cell>
          <cell r="C1142">
            <v>170</v>
          </cell>
        </row>
        <row r="1143">
          <cell r="A1143">
            <v>1743137755532</v>
          </cell>
          <cell r="B1143">
            <v>7.87</v>
          </cell>
          <cell r="C1143">
            <v>95</v>
          </cell>
        </row>
        <row r="1144">
          <cell r="A1144">
            <v>1742378583369</v>
          </cell>
          <cell r="B1144">
            <v>18.440000000000001</v>
          </cell>
          <cell r="C1144">
            <v>150</v>
          </cell>
        </row>
        <row r="1145">
          <cell r="A1145">
            <v>1742293389896</v>
          </cell>
          <cell r="B1145">
            <v>8.89</v>
          </cell>
          <cell r="C1145">
            <v>100</v>
          </cell>
        </row>
        <row r="1146">
          <cell r="A1146">
            <v>1743140651092</v>
          </cell>
          <cell r="B1146">
            <v>9.23</v>
          </cell>
          <cell r="C1146">
            <v>95</v>
          </cell>
        </row>
        <row r="1147">
          <cell r="A1147">
            <v>1743483560724</v>
          </cell>
          <cell r="B1147">
            <v>10.210000000000001</v>
          </cell>
          <cell r="C1147">
            <v>105</v>
          </cell>
        </row>
        <row r="1148">
          <cell r="A1148">
            <v>1742272515353</v>
          </cell>
          <cell r="B1148">
            <v>6.37</v>
          </cell>
          <cell r="C1148">
            <v>75</v>
          </cell>
        </row>
        <row r="1149">
          <cell r="A1149">
            <v>1742354877089</v>
          </cell>
          <cell r="B1149">
            <v>7.16</v>
          </cell>
          <cell r="C1149">
            <v>75</v>
          </cell>
        </row>
        <row r="1150">
          <cell r="A1150">
            <v>1742466722660</v>
          </cell>
          <cell r="B1150">
            <v>5.18</v>
          </cell>
          <cell r="C1150">
            <v>70</v>
          </cell>
        </row>
        <row r="1151">
          <cell r="A1151">
            <v>1743149616459</v>
          </cell>
          <cell r="B1151">
            <v>9.66</v>
          </cell>
          <cell r="C1151">
            <v>105</v>
          </cell>
        </row>
        <row r="1152">
          <cell r="A1152">
            <v>1742529317373</v>
          </cell>
          <cell r="B1152">
            <v>17.829999999999998</v>
          </cell>
          <cell r="C1152">
            <v>200</v>
          </cell>
        </row>
        <row r="1153">
          <cell r="A1153">
            <v>1744196812634</v>
          </cell>
          <cell r="B1153">
            <v>15.39</v>
          </cell>
          <cell r="C1153">
            <v>205</v>
          </cell>
        </row>
        <row r="1154">
          <cell r="A1154">
            <v>1742272759730</v>
          </cell>
          <cell r="B1154">
            <v>13.64</v>
          </cell>
          <cell r="C1154">
            <v>145</v>
          </cell>
        </row>
        <row r="1155">
          <cell r="A1155">
            <v>1743223129213</v>
          </cell>
          <cell r="B1155">
            <v>15.88</v>
          </cell>
          <cell r="C1155">
            <v>165</v>
          </cell>
        </row>
        <row r="1156">
          <cell r="A1156">
            <v>1744789774683</v>
          </cell>
          <cell r="B1156">
            <v>30.62</v>
          </cell>
          <cell r="C1156">
            <v>300</v>
          </cell>
        </row>
        <row r="1157">
          <cell r="A1157">
            <v>1743833001159</v>
          </cell>
          <cell r="B1157">
            <v>11.32</v>
          </cell>
          <cell r="C1157">
            <v>115</v>
          </cell>
        </row>
        <row r="1158">
          <cell r="A1158">
            <v>1716802745948</v>
          </cell>
          <cell r="B1158">
            <v>5.4</v>
          </cell>
          <cell r="C1158">
            <v>55</v>
          </cell>
        </row>
        <row r="1159">
          <cell r="A1159">
            <v>1745569859019</v>
          </cell>
          <cell r="B1159">
            <v>2.1</v>
          </cell>
          <cell r="C1159">
            <v>20</v>
          </cell>
        </row>
        <row r="1160">
          <cell r="A1160">
            <v>1715139339665</v>
          </cell>
          <cell r="B1160">
            <v>0.59</v>
          </cell>
          <cell r="C1160">
            <v>5</v>
          </cell>
        </row>
        <row r="1161">
          <cell r="A1161">
            <v>1744982080292</v>
          </cell>
          <cell r="B1161">
            <v>4.43</v>
          </cell>
          <cell r="C1161">
            <v>45</v>
          </cell>
        </row>
        <row r="1162">
          <cell r="A1162">
            <v>1745412319460</v>
          </cell>
          <cell r="B1162">
            <v>1.08</v>
          </cell>
          <cell r="C1162">
            <v>10</v>
          </cell>
        </row>
        <row r="1163">
          <cell r="A1163">
            <v>1745828895570</v>
          </cell>
          <cell r="B1163">
            <v>4.41</v>
          </cell>
          <cell r="C1163">
            <v>45</v>
          </cell>
        </row>
        <row r="1164">
          <cell r="A1164">
            <v>1744979974665</v>
          </cell>
          <cell r="B1164">
            <v>0.55000000000000004</v>
          </cell>
          <cell r="C1164">
            <v>5</v>
          </cell>
        </row>
        <row r="1165">
          <cell r="A1165">
            <v>1742359350216</v>
          </cell>
          <cell r="B1165">
            <v>4.05</v>
          </cell>
          <cell r="C1165">
            <v>45</v>
          </cell>
        </row>
        <row r="1166">
          <cell r="A1166">
            <v>1715748397237</v>
          </cell>
          <cell r="B1166">
            <v>3.14</v>
          </cell>
          <cell r="C1166">
            <v>30</v>
          </cell>
        </row>
        <row r="1167">
          <cell r="A1167">
            <v>1746454472917</v>
          </cell>
          <cell r="B1167">
            <v>14.36</v>
          </cell>
          <cell r="C1167">
            <v>135</v>
          </cell>
        </row>
        <row r="1168">
          <cell r="A1168">
            <v>1745319018101</v>
          </cell>
          <cell r="B1168">
            <v>5.32</v>
          </cell>
          <cell r="C1168">
            <v>55</v>
          </cell>
        </row>
        <row r="1169">
          <cell r="A1169">
            <v>1744983836991</v>
          </cell>
          <cell r="B1169">
            <v>1.82</v>
          </cell>
          <cell r="C1169">
            <v>20</v>
          </cell>
        </row>
        <row r="1170">
          <cell r="A1170">
            <v>1744688120934</v>
          </cell>
          <cell r="B1170">
            <v>3.91</v>
          </cell>
          <cell r="C1170">
            <v>40</v>
          </cell>
        </row>
        <row r="1171">
          <cell r="A1171">
            <v>1712578390288</v>
          </cell>
          <cell r="B1171">
            <v>3.82</v>
          </cell>
          <cell r="C1171">
            <v>40</v>
          </cell>
        </row>
        <row r="1172">
          <cell r="A1172">
            <v>1744896340192</v>
          </cell>
          <cell r="B1172">
            <v>4.2699999999999996</v>
          </cell>
          <cell r="C1172">
            <v>45</v>
          </cell>
        </row>
        <row r="1173">
          <cell r="A1173">
            <v>1746262084600</v>
          </cell>
          <cell r="B1173">
            <v>4.5199999999999996</v>
          </cell>
          <cell r="C1173">
            <v>45</v>
          </cell>
        </row>
        <row r="1174">
          <cell r="A1174">
            <v>1737607298245</v>
          </cell>
          <cell r="B1174">
            <v>2.25</v>
          </cell>
          <cell r="C1174">
            <v>25</v>
          </cell>
        </row>
        <row r="1175">
          <cell r="A1175">
            <v>1740976948607</v>
          </cell>
          <cell r="B1175">
            <v>1.18</v>
          </cell>
          <cell r="C1175">
            <v>15</v>
          </cell>
        </row>
        <row r="1176">
          <cell r="A1176">
            <v>1722240339351</v>
          </cell>
          <cell r="B1176">
            <v>2.57</v>
          </cell>
          <cell r="C1176">
            <v>30</v>
          </cell>
        </row>
        <row r="1177">
          <cell r="A1177">
            <v>1743244305090</v>
          </cell>
          <cell r="B1177">
            <v>4.4000000000000004</v>
          </cell>
          <cell r="C1177">
            <v>50</v>
          </cell>
        </row>
        <row r="1178">
          <cell r="A1178">
            <v>1747890230768</v>
          </cell>
          <cell r="B1178">
            <v>4.75</v>
          </cell>
          <cell r="C1178">
            <v>50</v>
          </cell>
        </row>
        <row r="1179">
          <cell r="A1179">
            <v>1742532043401</v>
          </cell>
          <cell r="B1179">
            <v>9.07</v>
          </cell>
          <cell r="C1179">
            <v>110</v>
          </cell>
        </row>
        <row r="1180">
          <cell r="A1180">
            <v>1747733199763</v>
          </cell>
          <cell r="B1180">
            <v>5.66</v>
          </cell>
          <cell r="C1180">
            <v>60</v>
          </cell>
        </row>
        <row r="1181">
          <cell r="A1181">
            <v>1723096033689</v>
          </cell>
          <cell r="B1181">
            <v>7.2</v>
          </cell>
          <cell r="C1181">
            <v>80</v>
          </cell>
        </row>
        <row r="1182">
          <cell r="A1182">
            <v>1743993566199</v>
          </cell>
          <cell r="B1182">
            <v>1.02</v>
          </cell>
          <cell r="C1182">
            <v>10</v>
          </cell>
        </row>
        <row r="1183">
          <cell r="A1183">
            <v>1743677618696</v>
          </cell>
          <cell r="B1183">
            <v>2.5099999999999998</v>
          </cell>
          <cell r="C1183">
            <v>25</v>
          </cell>
        </row>
        <row r="1184">
          <cell r="A1184">
            <v>1742810255143</v>
          </cell>
          <cell r="B1184">
            <v>1.59</v>
          </cell>
          <cell r="C1184">
            <v>15</v>
          </cell>
        </row>
        <row r="1185">
          <cell r="A1185">
            <v>1744108659170</v>
          </cell>
          <cell r="B1185">
            <v>4.5599999999999996</v>
          </cell>
          <cell r="C1185">
            <v>50</v>
          </cell>
        </row>
        <row r="1186">
          <cell r="A1186">
            <v>1743832529431</v>
          </cell>
          <cell r="B1186">
            <v>4.13</v>
          </cell>
          <cell r="C1186">
            <v>45</v>
          </cell>
        </row>
        <row r="1187">
          <cell r="A1187">
            <v>1744116030986</v>
          </cell>
          <cell r="B1187">
            <v>4.33</v>
          </cell>
          <cell r="C1187">
            <v>40</v>
          </cell>
        </row>
        <row r="1188">
          <cell r="A1188">
            <v>1743750581409</v>
          </cell>
          <cell r="B1188">
            <v>5.77</v>
          </cell>
          <cell r="C1188">
            <v>60</v>
          </cell>
        </row>
        <row r="1189">
          <cell r="A1189">
            <v>1744115547056</v>
          </cell>
          <cell r="B1189">
            <v>2.5099999999999998</v>
          </cell>
          <cell r="C1189">
            <v>25</v>
          </cell>
        </row>
        <row r="1190">
          <cell r="A1190">
            <v>1722494183627</v>
          </cell>
          <cell r="B1190">
            <v>3.09</v>
          </cell>
          <cell r="C1190">
            <v>30</v>
          </cell>
        </row>
        <row r="1191">
          <cell r="A1191">
            <v>1743493130968</v>
          </cell>
          <cell r="B1191">
            <v>9.24</v>
          </cell>
          <cell r="C1191">
            <v>105</v>
          </cell>
        </row>
        <row r="1192">
          <cell r="A1192">
            <v>1716608635051</v>
          </cell>
          <cell r="B1192">
            <v>3.48</v>
          </cell>
          <cell r="C1192">
            <v>40</v>
          </cell>
        </row>
        <row r="1193">
          <cell r="A1193">
            <v>1743577460698</v>
          </cell>
          <cell r="B1193">
            <v>2.5499999999999998</v>
          </cell>
          <cell r="C1193">
            <v>25</v>
          </cell>
        </row>
        <row r="1194">
          <cell r="A1194">
            <v>1744367979637</v>
          </cell>
          <cell r="B1194">
            <v>7.38</v>
          </cell>
          <cell r="C1194">
            <v>70</v>
          </cell>
        </row>
        <row r="1195">
          <cell r="A1195">
            <v>1742810362054</v>
          </cell>
          <cell r="B1195">
            <v>1.2</v>
          </cell>
          <cell r="C1195">
            <v>15</v>
          </cell>
        </row>
        <row r="1196">
          <cell r="A1196">
            <v>1716541080186</v>
          </cell>
          <cell r="B1196">
            <v>5.27</v>
          </cell>
          <cell r="C1196">
            <v>55</v>
          </cell>
        </row>
        <row r="1197">
          <cell r="A1197">
            <v>1744793660410</v>
          </cell>
          <cell r="B1197">
            <v>2.0099999999999998</v>
          </cell>
          <cell r="C1197">
            <v>20</v>
          </cell>
        </row>
        <row r="1198">
          <cell r="A1198">
            <v>1742640823877</v>
          </cell>
          <cell r="B1198">
            <v>23.86</v>
          </cell>
          <cell r="C1198">
            <v>270</v>
          </cell>
        </row>
        <row r="1199">
          <cell r="A1199">
            <v>1742286517805</v>
          </cell>
          <cell r="B1199">
            <v>6.45</v>
          </cell>
          <cell r="C1199">
            <v>75</v>
          </cell>
        </row>
        <row r="1200">
          <cell r="A1200">
            <v>1725341767277</v>
          </cell>
          <cell r="B1200">
            <v>2.79</v>
          </cell>
          <cell r="C1200">
            <v>30</v>
          </cell>
        </row>
        <row r="1201">
          <cell r="A1201">
            <v>1748236130585</v>
          </cell>
          <cell r="B1201">
            <v>0.89</v>
          </cell>
          <cell r="C1201">
            <v>10</v>
          </cell>
        </row>
        <row r="1202">
          <cell r="A1202">
            <v>1738906432706</v>
          </cell>
          <cell r="B1202">
            <v>12.08</v>
          </cell>
          <cell r="C1202">
            <v>120</v>
          </cell>
        </row>
        <row r="1203">
          <cell r="A1203">
            <v>1739601316552</v>
          </cell>
          <cell r="B1203">
            <v>3.65</v>
          </cell>
          <cell r="C1203">
            <v>35</v>
          </cell>
        </row>
        <row r="1204">
          <cell r="A1204">
            <v>1739519073921</v>
          </cell>
          <cell r="B1204">
            <v>2.29</v>
          </cell>
          <cell r="C1204">
            <v>20</v>
          </cell>
        </row>
        <row r="1205">
          <cell r="A1205">
            <v>1739427529282</v>
          </cell>
          <cell r="B1205">
            <v>21.93</v>
          </cell>
          <cell r="C1205">
            <v>240</v>
          </cell>
        </row>
        <row r="1206">
          <cell r="A1206">
            <v>1738906211872</v>
          </cell>
          <cell r="B1206">
            <v>3.41</v>
          </cell>
          <cell r="C1206">
            <v>40</v>
          </cell>
        </row>
        <row r="1207">
          <cell r="A1207">
            <v>1740037097755</v>
          </cell>
          <cell r="B1207">
            <v>12.52</v>
          </cell>
          <cell r="C1207">
            <v>225</v>
          </cell>
        </row>
        <row r="1208">
          <cell r="A1208">
            <v>1739343880403</v>
          </cell>
          <cell r="B1208">
            <v>5.26</v>
          </cell>
          <cell r="C1208">
            <v>60</v>
          </cell>
        </row>
        <row r="1209">
          <cell r="A1209">
            <v>1739965898424</v>
          </cell>
          <cell r="B1209">
            <v>2.78</v>
          </cell>
          <cell r="C1209">
            <v>35</v>
          </cell>
        </row>
        <row r="1210">
          <cell r="A1210">
            <v>1738907651191</v>
          </cell>
          <cell r="B1210">
            <v>8.6199999999999992</v>
          </cell>
          <cell r="C1210">
            <v>85</v>
          </cell>
        </row>
        <row r="1211">
          <cell r="A1211">
            <v>1738906883926</v>
          </cell>
          <cell r="B1211">
            <v>7.71</v>
          </cell>
          <cell r="C1211">
            <v>110</v>
          </cell>
        </row>
        <row r="1212">
          <cell r="A1212">
            <v>1738049621732</v>
          </cell>
          <cell r="B1212">
            <v>1.57</v>
          </cell>
          <cell r="C1212">
            <v>35</v>
          </cell>
        </row>
        <row r="1213">
          <cell r="A1213">
            <v>1739513558996</v>
          </cell>
          <cell r="B1213">
            <v>1.66</v>
          </cell>
          <cell r="C1213">
            <v>20</v>
          </cell>
        </row>
        <row r="1214">
          <cell r="A1214">
            <v>1738756851685</v>
          </cell>
          <cell r="B1214">
            <v>5.26</v>
          </cell>
          <cell r="C1214">
            <v>70</v>
          </cell>
        </row>
        <row r="1215">
          <cell r="A1215">
            <v>1742796530005</v>
          </cell>
          <cell r="B1215">
            <v>3.72</v>
          </cell>
          <cell r="C1215">
            <v>50</v>
          </cell>
        </row>
        <row r="1216">
          <cell r="A1216">
            <v>1739862051826</v>
          </cell>
          <cell r="B1216">
            <v>9.89</v>
          </cell>
          <cell r="C1216">
            <v>100</v>
          </cell>
        </row>
        <row r="1217">
          <cell r="A1217">
            <v>1739431100618</v>
          </cell>
          <cell r="B1217">
            <v>7.72</v>
          </cell>
          <cell r="C1217">
            <v>80</v>
          </cell>
        </row>
        <row r="1218">
          <cell r="A1218">
            <v>1739603797076</v>
          </cell>
          <cell r="B1218">
            <v>3.22</v>
          </cell>
          <cell r="C1218">
            <v>30</v>
          </cell>
        </row>
        <row r="1219">
          <cell r="A1219">
            <v>1740038878272</v>
          </cell>
          <cell r="B1219">
            <v>20.92</v>
          </cell>
          <cell r="C1219">
            <v>230</v>
          </cell>
        </row>
        <row r="1220">
          <cell r="A1220">
            <v>1738993623344</v>
          </cell>
          <cell r="B1220">
            <v>5.8</v>
          </cell>
          <cell r="C1220">
            <v>60</v>
          </cell>
        </row>
        <row r="1221">
          <cell r="A1221">
            <v>1740376695612</v>
          </cell>
          <cell r="B1221">
            <v>9.89</v>
          </cell>
          <cell r="C1221">
            <v>155</v>
          </cell>
        </row>
        <row r="1222">
          <cell r="A1222">
            <v>1716781634403</v>
          </cell>
          <cell r="B1222">
            <v>0.89</v>
          </cell>
          <cell r="C1222">
            <v>10</v>
          </cell>
        </row>
        <row r="1223">
          <cell r="A1223">
            <v>1738052589319</v>
          </cell>
          <cell r="B1223">
            <v>3.23</v>
          </cell>
          <cell r="C1223">
            <v>40</v>
          </cell>
        </row>
        <row r="1224">
          <cell r="A1224">
            <v>1743581399119</v>
          </cell>
          <cell r="B1224">
            <v>4.87</v>
          </cell>
          <cell r="C1224">
            <v>50</v>
          </cell>
        </row>
        <row r="1225">
          <cell r="A1225">
            <v>1738738471111</v>
          </cell>
          <cell r="B1225">
            <v>0.85</v>
          </cell>
          <cell r="C1225">
            <v>20</v>
          </cell>
        </row>
        <row r="1226">
          <cell r="A1226">
            <v>1723186440487</v>
          </cell>
          <cell r="B1226">
            <v>5.2</v>
          </cell>
          <cell r="C1226">
            <v>55</v>
          </cell>
        </row>
        <row r="1227">
          <cell r="A1227">
            <v>1722928084730</v>
          </cell>
          <cell r="B1227">
            <v>6.14</v>
          </cell>
          <cell r="C1227">
            <v>65</v>
          </cell>
        </row>
        <row r="1228">
          <cell r="A1228">
            <v>1743750802549</v>
          </cell>
          <cell r="B1228">
            <v>9.75</v>
          </cell>
          <cell r="C1228">
            <v>95</v>
          </cell>
        </row>
        <row r="1229">
          <cell r="A1229">
            <v>1743141041642</v>
          </cell>
          <cell r="B1229">
            <v>12.13</v>
          </cell>
          <cell r="C1229">
            <v>135</v>
          </cell>
        </row>
        <row r="1230">
          <cell r="A1230">
            <v>1743494004806</v>
          </cell>
          <cell r="B1230">
            <v>7.13</v>
          </cell>
          <cell r="C1230">
            <v>75</v>
          </cell>
        </row>
        <row r="1231">
          <cell r="A1231">
            <v>1723096854269</v>
          </cell>
          <cell r="B1231">
            <v>3.98</v>
          </cell>
          <cell r="C1231">
            <v>40</v>
          </cell>
        </row>
        <row r="1232">
          <cell r="A1232">
            <v>1748249298563</v>
          </cell>
          <cell r="B1232">
            <v>9.66</v>
          </cell>
          <cell r="C1232">
            <v>100</v>
          </cell>
        </row>
        <row r="1233">
          <cell r="A1233">
            <v>1747721137583</v>
          </cell>
          <cell r="B1233">
            <v>4.28</v>
          </cell>
          <cell r="C1233">
            <v>45</v>
          </cell>
        </row>
        <row r="1234">
          <cell r="A1234">
            <v>1719301507922</v>
          </cell>
          <cell r="B1234">
            <v>8.32</v>
          </cell>
          <cell r="C1234">
            <v>100</v>
          </cell>
        </row>
        <row r="1235">
          <cell r="A1235">
            <v>1738057562733</v>
          </cell>
          <cell r="B1235">
            <v>2.31</v>
          </cell>
          <cell r="C1235">
            <v>25</v>
          </cell>
        </row>
        <row r="1236">
          <cell r="A1236">
            <v>1738050224518</v>
          </cell>
          <cell r="B1236">
            <v>4.43</v>
          </cell>
          <cell r="C1236">
            <v>40</v>
          </cell>
        </row>
        <row r="1237">
          <cell r="A1237">
            <v>1738050819582</v>
          </cell>
          <cell r="B1237">
            <v>2.5099999999999998</v>
          </cell>
          <cell r="C1237">
            <v>20</v>
          </cell>
        </row>
        <row r="1238">
          <cell r="A1238">
            <v>1728892452207</v>
          </cell>
          <cell r="B1238">
            <v>10.199999999999999</v>
          </cell>
          <cell r="C1238">
            <v>115</v>
          </cell>
        </row>
        <row r="1239">
          <cell r="A1239">
            <v>1738053065716</v>
          </cell>
          <cell r="B1239">
            <v>3.88</v>
          </cell>
          <cell r="C1239">
            <v>45</v>
          </cell>
        </row>
        <row r="1240">
          <cell r="A1240">
            <v>1739781638352</v>
          </cell>
          <cell r="B1240">
            <v>2.5099999999999998</v>
          </cell>
          <cell r="C1240">
            <v>20</v>
          </cell>
        </row>
        <row r="1241">
          <cell r="A1241">
            <v>1738923001380</v>
          </cell>
          <cell r="B1241">
            <v>3.93</v>
          </cell>
          <cell r="C1241">
            <v>45</v>
          </cell>
        </row>
        <row r="1242">
          <cell r="A1242">
            <v>1739966080785</v>
          </cell>
          <cell r="B1242">
            <v>6.89</v>
          </cell>
          <cell r="C1242">
            <v>75</v>
          </cell>
        </row>
        <row r="1243">
          <cell r="A1243">
            <v>1738052816411</v>
          </cell>
          <cell r="B1243">
            <v>1.1599999999999999</v>
          </cell>
          <cell r="C1243">
            <v>25</v>
          </cell>
        </row>
        <row r="1244">
          <cell r="A1244">
            <v>1738744901492</v>
          </cell>
          <cell r="B1244">
            <v>3.01</v>
          </cell>
          <cell r="C1244">
            <v>50</v>
          </cell>
        </row>
        <row r="1245">
          <cell r="A1245">
            <v>1728886810469</v>
          </cell>
          <cell r="B1245">
            <v>15.88</v>
          </cell>
          <cell r="C1245">
            <v>150</v>
          </cell>
        </row>
        <row r="1246">
          <cell r="A1246">
            <v>1738056536953</v>
          </cell>
          <cell r="B1246">
            <v>1.67</v>
          </cell>
          <cell r="C1246">
            <v>25</v>
          </cell>
        </row>
        <row r="1247">
          <cell r="A1247">
            <v>1741163693897</v>
          </cell>
          <cell r="B1247">
            <v>2.62</v>
          </cell>
          <cell r="C1247">
            <v>50</v>
          </cell>
        </row>
        <row r="1248">
          <cell r="A1248">
            <v>1738051281099</v>
          </cell>
          <cell r="B1248">
            <v>3.06</v>
          </cell>
          <cell r="C1248">
            <v>35</v>
          </cell>
        </row>
        <row r="1249">
          <cell r="A1249">
            <v>1738916066991</v>
          </cell>
          <cell r="B1249">
            <v>7.57</v>
          </cell>
          <cell r="C1249">
            <v>80</v>
          </cell>
        </row>
        <row r="1250">
          <cell r="A1250">
            <v>1739432669163</v>
          </cell>
          <cell r="B1250">
            <v>2.38</v>
          </cell>
          <cell r="C1250">
            <v>35</v>
          </cell>
        </row>
        <row r="1251">
          <cell r="A1251">
            <v>1739536492166</v>
          </cell>
          <cell r="B1251">
            <v>3.06</v>
          </cell>
          <cell r="C1251">
            <v>35</v>
          </cell>
        </row>
        <row r="1252">
          <cell r="A1252">
            <v>1738996880419</v>
          </cell>
          <cell r="B1252">
            <v>2.38</v>
          </cell>
          <cell r="C1252">
            <v>30</v>
          </cell>
        </row>
        <row r="1253">
          <cell r="A1253">
            <v>1739001086345</v>
          </cell>
          <cell r="B1253">
            <v>2.2799999999999998</v>
          </cell>
          <cell r="C1253">
            <v>35</v>
          </cell>
        </row>
        <row r="1254">
          <cell r="A1254">
            <v>1740648533833</v>
          </cell>
          <cell r="B1254">
            <v>2.72</v>
          </cell>
          <cell r="C1254">
            <v>40</v>
          </cell>
        </row>
        <row r="1255">
          <cell r="A1255">
            <v>1738051510830</v>
          </cell>
          <cell r="B1255">
            <v>1.38</v>
          </cell>
          <cell r="C1255">
            <v>20</v>
          </cell>
        </row>
        <row r="1256">
          <cell r="A1256">
            <v>1739432570513</v>
          </cell>
          <cell r="B1256">
            <v>3.69</v>
          </cell>
          <cell r="C1256">
            <v>60</v>
          </cell>
        </row>
        <row r="1257">
          <cell r="A1257">
            <v>1739951434404</v>
          </cell>
          <cell r="B1257">
            <v>6.05</v>
          </cell>
          <cell r="C1257">
            <v>60</v>
          </cell>
        </row>
        <row r="1258">
          <cell r="A1258">
            <v>1739601569212</v>
          </cell>
          <cell r="B1258">
            <v>1.39</v>
          </cell>
          <cell r="C1258">
            <v>20</v>
          </cell>
        </row>
        <row r="1259">
          <cell r="A1259">
            <v>1729144158373</v>
          </cell>
          <cell r="B1259">
            <v>17.37</v>
          </cell>
          <cell r="C1259">
            <v>160</v>
          </cell>
        </row>
        <row r="1260">
          <cell r="A1260">
            <v>1738648797708</v>
          </cell>
          <cell r="B1260">
            <v>11</v>
          </cell>
          <cell r="C1260">
            <v>80</v>
          </cell>
        </row>
        <row r="1261">
          <cell r="A1261">
            <v>1739521917052</v>
          </cell>
          <cell r="B1261">
            <v>15.41</v>
          </cell>
          <cell r="C1261">
            <v>140</v>
          </cell>
        </row>
        <row r="1262">
          <cell r="A1262">
            <v>1739341796474</v>
          </cell>
          <cell r="B1262">
            <v>8.3000000000000007</v>
          </cell>
          <cell r="C1262">
            <v>70</v>
          </cell>
        </row>
        <row r="1263">
          <cell r="A1263">
            <v>1738648907426</v>
          </cell>
          <cell r="B1263">
            <v>4.62</v>
          </cell>
          <cell r="C1263">
            <v>40</v>
          </cell>
        </row>
        <row r="1264">
          <cell r="A1264">
            <v>1728455095411</v>
          </cell>
          <cell r="B1264">
            <v>5.88</v>
          </cell>
          <cell r="C1264">
            <v>60</v>
          </cell>
        </row>
        <row r="1265">
          <cell r="A1265">
            <v>1728627418198</v>
          </cell>
          <cell r="B1265">
            <v>4.79</v>
          </cell>
          <cell r="C1265">
            <v>45</v>
          </cell>
        </row>
        <row r="1266">
          <cell r="A1266">
            <v>1739965086418</v>
          </cell>
          <cell r="B1266">
            <v>17.95</v>
          </cell>
          <cell r="C1266">
            <v>195</v>
          </cell>
        </row>
        <row r="1267">
          <cell r="A1267">
            <v>1728624747021</v>
          </cell>
          <cell r="B1267">
            <v>2.0499999999999998</v>
          </cell>
          <cell r="C1267">
            <v>20</v>
          </cell>
        </row>
        <row r="1268">
          <cell r="A1268">
            <v>1728365444600</v>
          </cell>
          <cell r="B1268">
            <v>7.41</v>
          </cell>
          <cell r="C1268">
            <v>75</v>
          </cell>
        </row>
        <row r="1269">
          <cell r="A1269">
            <v>1728887165930</v>
          </cell>
          <cell r="B1269">
            <v>13.57</v>
          </cell>
          <cell r="C1269">
            <v>135</v>
          </cell>
        </row>
        <row r="1270">
          <cell r="A1270">
            <v>1748059781360</v>
          </cell>
          <cell r="B1270">
            <v>11.85</v>
          </cell>
          <cell r="C1270">
            <v>125</v>
          </cell>
        </row>
        <row r="1271">
          <cell r="A1271">
            <v>1748077552051</v>
          </cell>
          <cell r="B1271">
            <v>10.79</v>
          </cell>
          <cell r="C1271">
            <v>120</v>
          </cell>
        </row>
        <row r="1272">
          <cell r="A1272">
            <v>1738819237179</v>
          </cell>
          <cell r="B1272">
            <v>3.07</v>
          </cell>
          <cell r="C1272">
            <v>40</v>
          </cell>
        </row>
        <row r="1273">
          <cell r="A1273">
            <v>1743415364169</v>
          </cell>
          <cell r="B1273">
            <v>2.58</v>
          </cell>
          <cell r="C1273">
            <v>30</v>
          </cell>
        </row>
        <row r="1274">
          <cell r="A1274">
            <v>1742805511508</v>
          </cell>
          <cell r="B1274">
            <v>1.89</v>
          </cell>
          <cell r="C1274">
            <v>20</v>
          </cell>
        </row>
        <row r="1275">
          <cell r="A1275">
            <v>1743504364393</v>
          </cell>
          <cell r="B1275">
            <v>1.83</v>
          </cell>
          <cell r="C1275">
            <v>25</v>
          </cell>
        </row>
        <row r="1276">
          <cell r="A1276">
            <v>1742804606323</v>
          </cell>
          <cell r="B1276">
            <v>10.89</v>
          </cell>
          <cell r="C1276">
            <v>110</v>
          </cell>
        </row>
        <row r="1277">
          <cell r="A1277">
            <v>1743662556642</v>
          </cell>
          <cell r="B1277">
            <v>1.49</v>
          </cell>
          <cell r="C1277">
            <v>25</v>
          </cell>
        </row>
        <row r="1278">
          <cell r="A1278">
            <v>1728890864065</v>
          </cell>
          <cell r="B1278">
            <v>1.45</v>
          </cell>
          <cell r="C1278">
            <v>15</v>
          </cell>
        </row>
        <row r="1279">
          <cell r="A1279">
            <v>1738906590280</v>
          </cell>
          <cell r="B1279">
            <v>10.87</v>
          </cell>
          <cell r="C1279">
            <v>120</v>
          </cell>
        </row>
        <row r="1280">
          <cell r="A1280">
            <v>1741259106059</v>
          </cell>
          <cell r="B1280">
            <v>4.21</v>
          </cell>
          <cell r="C1280">
            <v>50</v>
          </cell>
        </row>
        <row r="1281">
          <cell r="A1281">
            <v>1739776618120</v>
          </cell>
          <cell r="B1281">
            <v>1.28</v>
          </cell>
          <cell r="C1281">
            <v>20</v>
          </cell>
        </row>
        <row r="1282">
          <cell r="A1282">
            <v>1739614841406</v>
          </cell>
          <cell r="B1282">
            <v>18.649999999999999</v>
          </cell>
          <cell r="C1282">
            <v>150</v>
          </cell>
        </row>
        <row r="1283">
          <cell r="A1283">
            <v>1773209001700</v>
          </cell>
          <cell r="B1283">
            <v>2.4039999999999999</v>
          </cell>
          <cell r="C1283">
            <v>60</v>
          </cell>
        </row>
        <row r="1284">
          <cell r="A1284">
            <v>1772190798497</v>
          </cell>
          <cell r="B1284">
            <v>2.9249999999999998</v>
          </cell>
          <cell r="C1284">
            <v>33.5</v>
          </cell>
        </row>
        <row r="1285">
          <cell r="A1285">
            <v>1751358264486</v>
          </cell>
          <cell r="B1285">
            <v>1.4059999999999999</v>
          </cell>
          <cell r="C1285">
            <v>15</v>
          </cell>
        </row>
        <row r="1286">
          <cell r="A1286">
            <v>1751008788892</v>
          </cell>
          <cell r="B1286">
            <v>1.008</v>
          </cell>
          <cell r="C1286">
            <v>10</v>
          </cell>
        </row>
        <row r="1287">
          <cell r="A1287">
            <v>1758954884490</v>
          </cell>
          <cell r="B1287">
            <v>4.2329999999999997</v>
          </cell>
          <cell r="C1287">
            <v>60</v>
          </cell>
        </row>
        <row r="1288">
          <cell r="A1288">
            <v>1768818816185</v>
          </cell>
          <cell r="B1288">
            <v>6.3650000000000002</v>
          </cell>
          <cell r="C1288">
            <v>60</v>
          </cell>
        </row>
        <row r="1289">
          <cell r="A1289">
            <v>1752996256673</v>
          </cell>
          <cell r="B1289">
            <v>4.1379999999999999</v>
          </cell>
          <cell r="C1289">
            <v>40</v>
          </cell>
        </row>
        <row r="1290">
          <cell r="A1290">
            <v>1764403943407</v>
          </cell>
          <cell r="B1290">
            <v>5.27</v>
          </cell>
          <cell r="C1290">
            <v>35</v>
          </cell>
        </row>
        <row r="1291">
          <cell r="A1291">
            <v>1768808191925</v>
          </cell>
          <cell r="B1291">
            <v>4.1280000000000001</v>
          </cell>
          <cell r="C1291">
            <v>50</v>
          </cell>
        </row>
        <row r="1292">
          <cell r="A1292">
            <v>1767785653617</v>
          </cell>
          <cell r="B1292">
            <v>4.4119999999999999</v>
          </cell>
          <cell r="C1292">
            <v>40</v>
          </cell>
        </row>
        <row r="1293">
          <cell r="A1293">
            <v>1749873049859</v>
          </cell>
          <cell r="C1293">
            <v>15.21</v>
          </cell>
        </row>
        <row r="1294">
          <cell r="A1294">
            <v>1749103614533</v>
          </cell>
          <cell r="C1294">
            <v>5.58</v>
          </cell>
        </row>
        <row r="1295">
          <cell r="A1295">
            <v>1737972166308</v>
          </cell>
          <cell r="C1295">
            <v>7.5</v>
          </cell>
        </row>
        <row r="1296">
          <cell r="A1296">
            <v>1749983293560</v>
          </cell>
          <cell r="C1296">
            <v>4.72</v>
          </cell>
        </row>
        <row r="1297">
          <cell r="A1297">
            <v>1750057272690</v>
          </cell>
          <cell r="C1297">
            <v>1.63</v>
          </cell>
        </row>
        <row r="1298">
          <cell r="A1298">
            <v>1748936079175</v>
          </cell>
          <cell r="C1298">
            <v>2.63</v>
          </cell>
        </row>
        <row r="1299">
          <cell r="A1299">
            <v>1747642551211</v>
          </cell>
          <cell r="C1299">
            <v>7.17</v>
          </cell>
        </row>
        <row r="1300">
          <cell r="A1300">
            <v>1747292862943</v>
          </cell>
          <cell r="C1300">
            <v>7.77</v>
          </cell>
        </row>
        <row r="1301">
          <cell r="A1301">
            <v>1717483750175</v>
          </cell>
          <cell r="B1301">
            <v>2.2069999999999999</v>
          </cell>
          <cell r="C1301">
            <v>45</v>
          </cell>
        </row>
        <row r="1302">
          <cell r="A1302">
            <v>1749464132041</v>
          </cell>
          <cell r="C1302">
            <v>2.37</v>
          </cell>
        </row>
        <row r="1303">
          <cell r="A1303">
            <v>1749720147732</v>
          </cell>
          <cell r="C1303">
            <v>15.97</v>
          </cell>
        </row>
        <row r="1304">
          <cell r="A1304">
            <v>1717490715811</v>
          </cell>
          <cell r="C1304">
            <v>1.93</v>
          </cell>
        </row>
        <row r="1305">
          <cell r="A1305">
            <v>1749460775703</v>
          </cell>
          <cell r="C1305">
            <v>3.38</v>
          </cell>
        </row>
        <row r="1306">
          <cell r="A1306">
            <v>1749102545814</v>
          </cell>
          <cell r="C1306">
            <v>13.82</v>
          </cell>
        </row>
        <row r="1307">
          <cell r="A1307">
            <v>1749787290955</v>
          </cell>
          <cell r="C1307">
            <v>8.08</v>
          </cell>
        </row>
        <row r="1308">
          <cell r="A1308">
            <v>1747465403042</v>
          </cell>
          <cell r="C1308">
            <v>7.34</v>
          </cell>
        </row>
        <row r="1309">
          <cell r="A1309">
            <v>1749703452038</v>
          </cell>
          <cell r="C1309">
            <v>3.57</v>
          </cell>
        </row>
        <row r="1310">
          <cell r="A1310">
            <v>1747293242249</v>
          </cell>
          <cell r="C1310">
            <v>4.96</v>
          </cell>
        </row>
        <row r="1311">
          <cell r="A1311">
            <v>1749278901799</v>
          </cell>
          <cell r="C1311">
            <v>4.47</v>
          </cell>
        </row>
        <row r="1312">
          <cell r="A1312">
            <v>1747462250291</v>
          </cell>
          <cell r="C1312">
            <v>4.9800000000000004</v>
          </cell>
        </row>
        <row r="1313">
          <cell r="A1313">
            <v>1717482377072</v>
          </cell>
          <cell r="B1313">
            <v>5.4950000000000001</v>
          </cell>
          <cell r="C1313">
            <v>110</v>
          </cell>
        </row>
        <row r="1314">
          <cell r="A1314">
            <v>1748508342423</v>
          </cell>
          <cell r="C1314">
            <v>3.25</v>
          </cell>
        </row>
        <row r="1315">
          <cell r="A1315">
            <v>1748063225089</v>
          </cell>
          <cell r="C1315">
            <v>4.22</v>
          </cell>
        </row>
        <row r="1316">
          <cell r="A1316">
            <v>1748064144027</v>
          </cell>
          <cell r="C1316">
            <v>1.07</v>
          </cell>
        </row>
        <row r="1317">
          <cell r="A1317">
            <v>1747977536932</v>
          </cell>
          <cell r="C1317">
            <v>2.2799999999999998</v>
          </cell>
        </row>
        <row r="1318">
          <cell r="A1318">
            <v>1748671427416</v>
          </cell>
          <cell r="C1318">
            <v>4.09</v>
          </cell>
        </row>
        <row r="1319">
          <cell r="A1319">
            <v>1747635660327</v>
          </cell>
          <cell r="C1319">
            <v>4.33</v>
          </cell>
        </row>
        <row r="1320">
          <cell r="A1320">
            <v>1747465557885</v>
          </cell>
          <cell r="C1320">
            <v>1.72</v>
          </cell>
        </row>
        <row r="1321">
          <cell r="A1321">
            <v>1749119634566</v>
          </cell>
          <cell r="C1321">
            <v>5.45</v>
          </cell>
        </row>
        <row r="1322">
          <cell r="A1322">
            <v>1749533578329</v>
          </cell>
          <cell r="C1322">
            <v>5.93</v>
          </cell>
        </row>
        <row r="1323">
          <cell r="A1323">
            <v>1747551176461</v>
          </cell>
          <cell r="C1323">
            <v>1.65</v>
          </cell>
        </row>
        <row r="1324">
          <cell r="A1324">
            <v>1747550980302</v>
          </cell>
          <cell r="C1324">
            <v>2.13</v>
          </cell>
        </row>
        <row r="1325">
          <cell r="A1325">
            <v>1747635277914</v>
          </cell>
          <cell r="C1325">
            <v>1.56</v>
          </cell>
        </row>
        <row r="1326">
          <cell r="A1326">
            <v>1747638343387</v>
          </cell>
          <cell r="C1326">
            <v>3.85</v>
          </cell>
        </row>
        <row r="1327">
          <cell r="A1327">
            <v>1747640087326</v>
          </cell>
          <cell r="C1327">
            <v>4.17</v>
          </cell>
        </row>
        <row r="1328">
          <cell r="A1328">
            <v>1747039947777</v>
          </cell>
          <cell r="C1328">
            <v>8.27</v>
          </cell>
        </row>
        <row r="1329">
          <cell r="A1329">
            <v>1749536331161</v>
          </cell>
          <cell r="C1329">
            <v>2.94</v>
          </cell>
        </row>
        <row r="1330">
          <cell r="A1330">
            <v>1746425856566</v>
          </cell>
          <cell r="C1330">
            <v>2.0699999999999998</v>
          </cell>
        </row>
        <row r="1331">
          <cell r="A1331">
            <v>1747387671348</v>
          </cell>
          <cell r="C1331">
            <v>1.77</v>
          </cell>
        </row>
        <row r="1332">
          <cell r="A1332">
            <v>1747551321914</v>
          </cell>
          <cell r="C1332">
            <v>1.03</v>
          </cell>
        </row>
        <row r="1333">
          <cell r="A1333">
            <v>1748333772936</v>
          </cell>
          <cell r="C1333">
            <v>2.48</v>
          </cell>
        </row>
        <row r="1334">
          <cell r="A1334">
            <v>1746678647641</v>
          </cell>
          <cell r="C1334">
            <v>1.35</v>
          </cell>
        </row>
        <row r="1335">
          <cell r="A1335">
            <v>1747814410612</v>
          </cell>
          <cell r="C1335">
            <v>4.79</v>
          </cell>
        </row>
        <row r="1336">
          <cell r="A1336">
            <v>1747810344821</v>
          </cell>
          <cell r="C1336">
            <v>2.67</v>
          </cell>
        </row>
        <row r="1337">
          <cell r="A1337">
            <v>1737783617493</v>
          </cell>
          <cell r="C1337">
            <v>5.49</v>
          </cell>
        </row>
        <row r="1338">
          <cell r="A1338">
            <v>1747307907872</v>
          </cell>
          <cell r="C1338">
            <v>4.45</v>
          </cell>
        </row>
        <row r="1339">
          <cell r="A1339">
            <v>1749290645423</v>
          </cell>
          <cell r="C1339">
            <v>3.07</v>
          </cell>
        </row>
        <row r="1340">
          <cell r="A1340">
            <v>1746683181143</v>
          </cell>
          <cell r="C1340">
            <v>11.06</v>
          </cell>
        </row>
        <row r="1341">
          <cell r="A1341">
            <v>1749278578817</v>
          </cell>
          <cell r="C1341">
            <v>3.77</v>
          </cell>
        </row>
        <row r="1342">
          <cell r="A1342">
            <v>1748418644703</v>
          </cell>
          <cell r="C1342">
            <v>6.87</v>
          </cell>
        </row>
        <row r="1343">
          <cell r="A1343">
            <v>1746189360599</v>
          </cell>
          <cell r="C1343">
            <v>6.83</v>
          </cell>
        </row>
        <row r="1344">
          <cell r="A1344">
            <v>1747635456615</v>
          </cell>
          <cell r="C1344">
            <v>3.84</v>
          </cell>
        </row>
        <row r="1345">
          <cell r="A1345">
            <v>1748671345049</v>
          </cell>
          <cell r="C1345">
            <v>10.46</v>
          </cell>
        </row>
        <row r="1346">
          <cell r="A1346">
            <v>1746528533857</v>
          </cell>
          <cell r="C1346">
            <v>4.3600000000000003</v>
          </cell>
        </row>
        <row r="1347">
          <cell r="A1347">
            <v>1746425872163</v>
          </cell>
          <cell r="C1347">
            <v>5.5</v>
          </cell>
        </row>
        <row r="1348">
          <cell r="A1348">
            <v>1738303261420</v>
          </cell>
          <cell r="C1348">
            <v>4.1399999999999997</v>
          </cell>
        </row>
        <row r="1349">
          <cell r="A1349">
            <v>1747637562895</v>
          </cell>
          <cell r="C1349">
            <v>1.93</v>
          </cell>
        </row>
        <row r="1350">
          <cell r="A1350">
            <v>1744869120052</v>
          </cell>
          <cell r="C1350">
            <v>3.79</v>
          </cell>
        </row>
        <row r="1351">
          <cell r="A1351">
            <v>1746455992733</v>
          </cell>
          <cell r="C1351">
            <v>11.8</v>
          </cell>
        </row>
        <row r="1352">
          <cell r="A1352">
            <v>1747467874542</v>
          </cell>
          <cell r="C1352">
            <v>6.74</v>
          </cell>
        </row>
        <row r="1353">
          <cell r="A1353">
            <v>1746261794567</v>
          </cell>
          <cell r="C1353">
            <v>7.14</v>
          </cell>
        </row>
        <row r="1354">
          <cell r="A1354">
            <v>1746515733931</v>
          </cell>
          <cell r="C1354">
            <v>5.37</v>
          </cell>
        </row>
        <row r="1355">
          <cell r="A1355">
            <v>1745396907192</v>
          </cell>
          <cell r="C1355">
            <v>5.03</v>
          </cell>
        </row>
        <row r="1356">
          <cell r="A1356">
            <v>1744697058613</v>
          </cell>
          <cell r="C1356">
            <v>1.96</v>
          </cell>
        </row>
        <row r="1357">
          <cell r="A1357">
            <v>1744868280333</v>
          </cell>
          <cell r="C1357">
            <v>19.38</v>
          </cell>
        </row>
        <row r="1358">
          <cell r="A1358">
            <v>1746597182065</v>
          </cell>
          <cell r="C1358">
            <v>8.09</v>
          </cell>
        </row>
        <row r="1359">
          <cell r="A1359">
            <v>1745499264047</v>
          </cell>
          <cell r="C1359">
            <v>2.75</v>
          </cell>
        </row>
        <row r="1360">
          <cell r="A1360">
            <v>1744867936504</v>
          </cell>
          <cell r="C1360">
            <v>5.26</v>
          </cell>
        </row>
        <row r="1361">
          <cell r="A1361">
            <v>1746684309857</v>
          </cell>
          <cell r="C1361">
            <v>5.18</v>
          </cell>
        </row>
        <row r="1362">
          <cell r="A1362">
            <v>1746427126033</v>
          </cell>
          <cell r="C1362">
            <v>3.39</v>
          </cell>
        </row>
        <row r="1363">
          <cell r="A1363">
            <v>1746425608288</v>
          </cell>
          <cell r="C1363">
            <v>8.44</v>
          </cell>
        </row>
        <row r="1364">
          <cell r="A1364">
            <v>1745307590332</v>
          </cell>
          <cell r="C1364">
            <v>3.31</v>
          </cell>
        </row>
        <row r="1365">
          <cell r="A1365">
            <v>1738306257831</v>
          </cell>
          <cell r="C1365">
            <v>11.6</v>
          </cell>
        </row>
        <row r="1366">
          <cell r="A1366">
            <v>1746422874580</v>
          </cell>
          <cell r="C1366">
            <v>16.25</v>
          </cell>
        </row>
        <row r="1367">
          <cell r="A1367">
            <v>1746258713713</v>
          </cell>
          <cell r="C1367">
            <v>1.05</v>
          </cell>
        </row>
        <row r="1368">
          <cell r="A1368">
            <v>1745559724382</v>
          </cell>
          <cell r="C1368">
            <v>3.62</v>
          </cell>
        </row>
        <row r="1369">
          <cell r="A1369">
            <v>1737790868899</v>
          </cell>
          <cell r="C1369">
            <v>8.56</v>
          </cell>
        </row>
        <row r="1370">
          <cell r="A1370">
            <v>1744782908107</v>
          </cell>
          <cell r="C1370">
            <v>8.07</v>
          </cell>
        </row>
        <row r="1371">
          <cell r="A1371">
            <v>1746258415029</v>
          </cell>
          <cell r="C1371">
            <v>9.49</v>
          </cell>
        </row>
        <row r="1372">
          <cell r="A1372">
            <v>1744865258941</v>
          </cell>
          <cell r="C1372">
            <v>2.81</v>
          </cell>
        </row>
        <row r="1373">
          <cell r="A1373">
            <v>1737699389713</v>
          </cell>
          <cell r="C1373">
            <v>6.94</v>
          </cell>
        </row>
        <row r="1374">
          <cell r="A1374">
            <v>1746529581280</v>
          </cell>
          <cell r="C1374">
            <v>0.38</v>
          </cell>
        </row>
        <row r="1375">
          <cell r="A1375">
            <v>1737798107653</v>
          </cell>
          <cell r="C1375">
            <v>8.41</v>
          </cell>
        </row>
        <row r="1376">
          <cell r="A1376">
            <v>1745499011539</v>
          </cell>
          <cell r="C1376">
            <v>6.16</v>
          </cell>
        </row>
        <row r="1377">
          <cell r="A1377">
            <v>1738131665281</v>
          </cell>
          <cell r="C1377">
            <v>14.62</v>
          </cell>
        </row>
        <row r="1378">
          <cell r="A1378">
            <v>1737968733023</v>
          </cell>
          <cell r="C1378">
            <v>4</v>
          </cell>
        </row>
        <row r="1379">
          <cell r="A1379">
            <v>1737960439074</v>
          </cell>
          <cell r="C1379">
            <v>5.17</v>
          </cell>
        </row>
        <row r="1380">
          <cell r="A1380">
            <v>1737703667225</v>
          </cell>
          <cell r="C1380">
            <v>5.62</v>
          </cell>
        </row>
        <row r="1381">
          <cell r="A1381">
            <v>1745562169475</v>
          </cell>
          <cell r="C1381">
            <v>1.18</v>
          </cell>
        </row>
        <row r="1382">
          <cell r="A1382">
            <v>1745495962758</v>
          </cell>
          <cell r="C1382">
            <v>7.6</v>
          </cell>
        </row>
        <row r="1383">
          <cell r="A1383">
            <v>1745497171659</v>
          </cell>
          <cell r="C1383">
            <v>2.08</v>
          </cell>
        </row>
        <row r="1384">
          <cell r="A1384">
            <v>1738232623653</v>
          </cell>
          <cell r="C1384">
            <v>4.67</v>
          </cell>
        </row>
        <row r="1385">
          <cell r="A1385">
            <v>1737785124914</v>
          </cell>
          <cell r="C1385">
            <v>7.15</v>
          </cell>
        </row>
        <row r="1386">
          <cell r="A1386">
            <v>1738129011868</v>
          </cell>
          <cell r="C1386">
            <v>3.48</v>
          </cell>
        </row>
        <row r="1387">
          <cell r="A1387">
            <v>1737790984837</v>
          </cell>
          <cell r="C1387">
            <v>8.98</v>
          </cell>
        </row>
        <row r="1388">
          <cell r="A1388">
            <v>1745646336539</v>
          </cell>
          <cell r="C1388">
            <v>0.81</v>
          </cell>
        </row>
        <row r="1389">
          <cell r="A1389">
            <v>1737796122587</v>
          </cell>
          <cell r="C1389">
            <v>4.1399999999999997</v>
          </cell>
        </row>
        <row r="1390">
          <cell r="A1390">
            <v>1744694039008</v>
          </cell>
          <cell r="C1390">
            <v>7.62</v>
          </cell>
        </row>
        <row r="1391">
          <cell r="A1391">
            <v>1738231639812</v>
          </cell>
          <cell r="C1391">
            <v>6.77</v>
          </cell>
        </row>
        <row r="1392">
          <cell r="A1392">
            <v>1738229409347</v>
          </cell>
          <cell r="C1392">
            <v>6.55</v>
          </cell>
        </row>
        <row r="1393">
          <cell r="A1393">
            <v>1738306465159</v>
          </cell>
          <cell r="C1393">
            <v>1.55</v>
          </cell>
        </row>
        <row r="1394">
          <cell r="A1394">
            <v>1738305517063</v>
          </cell>
          <cell r="C1394">
            <v>3.33</v>
          </cell>
        </row>
        <row r="1395">
          <cell r="A1395">
            <v>1738305238531</v>
          </cell>
          <cell r="C1395">
            <v>1.6</v>
          </cell>
        </row>
        <row r="1396">
          <cell r="A1396">
            <v>1737781146310</v>
          </cell>
          <cell r="C1396">
            <v>5.14</v>
          </cell>
        </row>
        <row r="1397">
          <cell r="A1397">
            <v>1743570077722</v>
          </cell>
          <cell r="C1397">
            <v>2.21</v>
          </cell>
        </row>
        <row r="1398">
          <cell r="A1398">
            <v>1743568156751</v>
          </cell>
          <cell r="C1398">
            <v>1.64</v>
          </cell>
        </row>
        <row r="1399">
          <cell r="A1399">
            <v>1743492064714</v>
          </cell>
          <cell r="C1399">
            <v>3.91</v>
          </cell>
        </row>
        <row r="1400">
          <cell r="A1400">
            <v>1744266204234</v>
          </cell>
          <cell r="C1400">
            <v>3.52</v>
          </cell>
        </row>
        <row r="1401">
          <cell r="A1401">
            <v>1744265969302</v>
          </cell>
          <cell r="C1401">
            <v>0.79</v>
          </cell>
        </row>
        <row r="1402">
          <cell r="A1402">
            <v>1743137519074</v>
          </cell>
          <cell r="C1402">
            <v>1.01</v>
          </cell>
        </row>
        <row r="1403">
          <cell r="A1403">
            <v>1743495649980</v>
          </cell>
          <cell r="C1403">
            <v>1.64</v>
          </cell>
        </row>
        <row r="1404">
          <cell r="A1404">
            <v>1743575791892</v>
          </cell>
          <cell r="C1404">
            <v>12.34</v>
          </cell>
        </row>
        <row r="1405">
          <cell r="A1405">
            <v>1743057646001</v>
          </cell>
          <cell r="C1405">
            <v>4.9400000000000004</v>
          </cell>
        </row>
        <row r="1406">
          <cell r="A1406">
            <v>1743068560643</v>
          </cell>
          <cell r="C1406">
            <v>4.43</v>
          </cell>
        </row>
        <row r="1407">
          <cell r="A1407">
            <v>1745660797707</v>
          </cell>
          <cell r="C1407">
            <v>3.29</v>
          </cell>
        </row>
        <row r="1408">
          <cell r="A1408">
            <v>1743056403171</v>
          </cell>
          <cell r="C1408">
            <v>0.66</v>
          </cell>
        </row>
        <row r="1409">
          <cell r="A1409">
            <v>1743666860896</v>
          </cell>
          <cell r="C1409">
            <v>0.64</v>
          </cell>
        </row>
        <row r="1410">
          <cell r="A1410">
            <v>1745665177745</v>
          </cell>
          <cell r="C1410">
            <v>2.39</v>
          </cell>
        </row>
        <row r="1411">
          <cell r="A1411">
            <v>1743056929110</v>
          </cell>
          <cell r="C1411">
            <v>4.09</v>
          </cell>
        </row>
        <row r="1412">
          <cell r="A1412">
            <v>1743066262230</v>
          </cell>
          <cell r="C1412">
            <v>2.7</v>
          </cell>
        </row>
        <row r="1413">
          <cell r="A1413">
            <v>1743069396881</v>
          </cell>
          <cell r="C1413">
            <v>1.22</v>
          </cell>
        </row>
        <row r="1414">
          <cell r="A1414">
            <v>1744345243122</v>
          </cell>
          <cell r="C1414">
            <v>4.43</v>
          </cell>
        </row>
        <row r="1415">
          <cell r="A1415">
            <v>1743655565835</v>
          </cell>
          <cell r="C1415">
            <v>5.47</v>
          </cell>
        </row>
        <row r="1416">
          <cell r="A1416">
            <v>1745215224627</v>
          </cell>
          <cell r="C1416">
            <v>10.35</v>
          </cell>
        </row>
        <row r="1417">
          <cell r="A1417">
            <v>1744002457392</v>
          </cell>
          <cell r="C1417">
            <v>5.8</v>
          </cell>
        </row>
        <row r="1418">
          <cell r="A1418">
            <v>1744354670942</v>
          </cell>
          <cell r="C1418">
            <v>7.3</v>
          </cell>
        </row>
        <row r="1419">
          <cell r="A1419">
            <v>1743759150809</v>
          </cell>
          <cell r="C1419">
            <v>1.91</v>
          </cell>
        </row>
        <row r="1420">
          <cell r="A1420">
            <v>1744353959482</v>
          </cell>
          <cell r="C1420">
            <v>5.55</v>
          </cell>
        </row>
        <row r="1421">
          <cell r="A1421">
            <v>1743049645369</v>
          </cell>
          <cell r="C1421">
            <v>9.41</v>
          </cell>
        </row>
        <row r="1422">
          <cell r="A1422">
            <v>1742628538368</v>
          </cell>
          <cell r="C1422">
            <v>1.9</v>
          </cell>
        </row>
        <row r="1423">
          <cell r="A1423">
            <v>1745225238478</v>
          </cell>
          <cell r="C1423">
            <v>5.74</v>
          </cell>
        </row>
        <row r="1424">
          <cell r="A1424">
            <v>1742877427775</v>
          </cell>
          <cell r="C1424">
            <v>4.5999999999999996</v>
          </cell>
        </row>
        <row r="1425">
          <cell r="A1425">
            <v>1744002964077</v>
          </cell>
          <cell r="C1425">
            <v>1.21</v>
          </cell>
        </row>
        <row r="1426">
          <cell r="A1426">
            <v>1742626044771</v>
          </cell>
          <cell r="C1426">
            <v>0.65</v>
          </cell>
        </row>
        <row r="1427">
          <cell r="A1427">
            <v>1743146872167</v>
          </cell>
          <cell r="C1427">
            <v>2.68</v>
          </cell>
        </row>
        <row r="1428">
          <cell r="A1428">
            <v>1743564588664</v>
          </cell>
          <cell r="C1428">
            <v>2.93</v>
          </cell>
        </row>
        <row r="1429">
          <cell r="A1429">
            <v>1743139074668</v>
          </cell>
          <cell r="C1429">
            <v>6.04</v>
          </cell>
        </row>
        <row r="1430">
          <cell r="A1430">
            <v>1744354949301</v>
          </cell>
          <cell r="C1430">
            <v>5.95</v>
          </cell>
        </row>
        <row r="1431">
          <cell r="A1431">
            <v>1743486604944</v>
          </cell>
          <cell r="C1431">
            <v>7.39</v>
          </cell>
        </row>
        <row r="1432">
          <cell r="A1432">
            <v>1744265559902</v>
          </cell>
          <cell r="C1432">
            <v>4.6399999999999997</v>
          </cell>
        </row>
        <row r="1433">
          <cell r="A1433">
            <v>1743582078543</v>
          </cell>
          <cell r="C1433">
            <v>2.92</v>
          </cell>
        </row>
        <row r="1434">
          <cell r="A1434">
            <v>1744265675362</v>
          </cell>
          <cell r="C1434">
            <v>5.17</v>
          </cell>
        </row>
        <row r="1435">
          <cell r="A1435">
            <v>1743056936243</v>
          </cell>
          <cell r="C1435">
            <v>9.73</v>
          </cell>
        </row>
        <row r="1436">
          <cell r="A1436">
            <v>1743657646464</v>
          </cell>
          <cell r="C1436">
            <v>2.67</v>
          </cell>
        </row>
        <row r="1437">
          <cell r="A1437">
            <v>1744352859865</v>
          </cell>
          <cell r="C1437">
            <v>1.44</v>
          </cell>
        </row>
        <row r="1438">
          <cell r="A1438">
            <v>1742448612585</v>
          </cell>
          <cell r="C1438">
            <v>6.16</v>
          </cell>
        </row>
        <row r="1439">
          <cell r="A1439">
            <v>1742449745422</v>
          </cell>
          <cell r="C1439">
            <v>1.51</v>
          </cell>
        </row>
        <row r="1440">
          <cell r="A1440">
            <v>1744347879012</v>
          </cell>
          <cell r="C1440">
            <v>3.75</v>
          </cell>
        </row>
        <row r="1441">
          <cell r="A1441">
            <v>1744016112133</v>
          </cell>
          <cell r="C1441">
            <v>6.69</v>
          </cell>
        </row>
        <row r="1442">
          <cell r="A1442">
            <v>1742449386832</v>
          </cell>
          <cell r="C1442">
            <v>1.61</v>
          </cell>
        </row>
        <row r="1443">
          <cell r="A1443">
            <v>1743578433811</v>
          </cell>
          <cell r="C1443">
            <v>1.1000000000000001</v>
          </cell>
        </row>
        <row r="1444">
          <cell r="A1444">
            <v>1742978024306</v>
          </cell>
          <cell r="C1444">
            <v>5.69</v>
          </cell>
        </row>
        <row r="1445">
          <cell r="A1445">
            <v>1743566407140</v>
          </cell>
          <cell r="B1445">
            <v>1.65</v>
          </cell>
          <cell r="C1445">
            <v>30</v>
          </cell>
        </row>
        <row r="1446">
          <cell r="A1446">
            <v>1743226480540</v>
          </cell>
          <cell r="B1446">
            <v>5.95</v>
          </cell>
          <cell r="C1446">
            <v>70</v>
          </cell>
        </row>
        <row r="1447">
          <cell r="A1447">
            <v>1744019529172</v>
          </cell>
          <cell r="B1447">
            <v>1.4</v>
          </cell>
          <cell r="C1447">
            <v>20</v>
          </cell>
        </row>
        <row r="1448">
          <cell r="A1448">
            <v>1744181725178</v>
          </cell>
          <cell r="B1448">
            <v>3.65</v>
          </cell>
          <cell r="C1448">
            <v>30</v>
          </cell>
        </row>
        <row r="1449">
          <cell r="A1449">
            <v>1743485311874</v>
          </cell>
          <cell r="B1449">
            <v>2.19</v>
          </cell>
          <cell r="C1449">
            <v>35</v>
          </cell>
        </row>
        <row r="1450">
          <cell r="A1450">
            <v>1744019287964</v>
          </cell>
          <cell r="B1450">
            <v>1.22</v>
          </cell>
          <cell r="C1450">
            <v>20</v>
          </cell>
        </row>
        <row r="1451">
          <cell r="A1451">
            <v>1743654307270</v>
          </cell>
          <cell r="B1451">
            <v>10.79</v>
          </cell>
          <cell r="C1451">
            <v>150</v>
          </cell>
        </row>
        <row r="1452">
          <cell r="A1452">
            <v>1744349850635</v>
          </cell>
          <cell r="B1452">
            <v>3.4</v>
          </cell>
          <cell r="C1452">
            <v>40</v>
          </cell>
        </row>
        <row r="1453">
          <cell r="A1453">
            <v>1744605612663</v>
          </cell>
          <cell r="B1453">
            <v>12.43</v>
          </cell>
          <cell r="C1453">
            <v>145</v>
          </cell>
        </row>
        <row r="1454">
          <cell r="A1454">
            <v>1743581310895</v>
          </cell>
          <cell r="B1454">
            <v>0.36</v>
          </cell>
          <cell r="C1454">
            <v>5</v>
          </cell>
        </row>
        <row r="1455">
          <cell r="A1455">
            <v>1742965220841</v>
          </cell>
          <cell r="B1455">
            <v>1.63</v>
          </cell>
          <cell r="C1455">
            <v>25</v>
          </cell>
        </row>
        <row r="1456">
          <cell r="A1456">
            <v>1743654585286</v>
          </cell>
          <cell r="B1456">
            <v>1.53</v>
          </cell>
          <cell r="C1456">
            <v>20</v>
          </cell>
        </row>
        <row r="1457">
          <cell r="A1457">
            <v>1744262841212</v>
          </cell>
          <cell r="B1457">
            <v>1.1200000000000001</v>
          </cell>
          <cell r="C1457">
            <v>15</v>
          </cell>
        </row>
        <row r="1458">
          <cell r="A1458">
            <v>1742975152600</v>
          </cell>
          <cell r="B1458">
            <v>3.32</v>
          </cell>
          <cell r="C1458">
            <v>50</v>
          </cell>
        </row>
        <row r="1459">
          <cell r="A1459">
            <v>1744261542774</v>
          </cell>
          <cell r="B1459">
            <v>1.62</v>
          </cell>
          <cell r="C1459">
            <v>25</v>
          </cell>
        </row>
        <row r="1460">
          <cell r="A1460">
            <v>1744021842809</v>
          </cell>
          <cell r="B1460">
            <v>1.9</v>
          </cell>
          <cell r="C1460">
            <v>30</v>
          </cell>
        </row>
        <row r="1461">
          <cell r="A1461">
            <v>1744176807347</v>
          </cell>
          <cell r="B1461">
            <v>3.4</v>
          </cell>
          <cell r="C1461">
            <v>40</v>
          </cell>
        </row>
        <row r="1462">
          <cell r="A1462">
            <v>1743742353158</v>
          </cell>
          <cell r="B1462">
            <v>6.38</v>
          </cell>
          <cell r="C1462">
            <v>85</v>
          </cell>
        </row>
        <row r="1463">
          <cell r="A1463">
            <v>1743490096823</v>
          </cell>
          <cell r="B1463">
            <v>1.24</v>
          </cell>
          <cell r="C1463">
            <v>20</v>
          </cell>
        </row>
        <row r="1464">
          <cell r="A1464">
            <v>1742450156568</v>
          </cell>
          <cell r="B1464">
            <v>2.78</v>
          </cell>
          <cell r="C1464">
            <v>40</v>
          </cell>
        </row>
        <row r="1465">
          <cell r="A1465">
            <v>1744174935685</v>
          </cell>
          <cell r="B1465">
            <v>3.6</v>
          </cell>
          <cell r="C1465">
            <v>60</v>
          </cell>
        </row>
        <row r="1466">
          <cell r="A1466">
            <v>1744174761709</v>
          </cell>
          <cell r="B1466">
            <v>2.19</v>
          </cell>
          <cell r="C1466">
            <v>40</v>
          </cell>
        </row>
        <row r="1467">
          <cell r="A1467">
            <v>1743578005022</v>
          </cell>
          <cell r="B1467">
            <v>2.27</v>
          </cell>
          <cell r="C1467">
            <v>35</v>
          </cell>
        </row>
        <row r="1468">
          <cell r="A1468">
            <v>1743056465617</v>
          </cell>
          <cell r="B1468">
            <v>8.35</v>
          </cell>
          <cell r="C1468">
            <v>115</v>
          </cell>
        </row>
        <row r="1469">
          <cell r="A1469">
            <v>1743671339582</v>
          </cell>
          <cell r="B1469">
            <v>0.34</v>
          </cell>
          <cell r="C1469">
            <v>5</v>
          </cell>
        </row>
        <row r="1470">
          <cell r="A1470">
            <v>1744188575980</v>
          </cell>
          <cell r="B1470">
            <v>0.45</v>
          </cell>
          <cell r="C1470">
            <v>10</v>
          </cell>
        </row>
        <row r="1471">
          <cell r="A1471">
            <v>1744013825392</v>
          </cell>
          <cell r="B1471">
            <v>0.89</v>
          </cell>
          <cell r="C1471">
            <v>10</v>
          </cell>
        </row>
        <row r="1472">
          <cell r="A1472">
            <v>1742546805072</v>
          </cell>
          <cell r="B1472">
            <v>5.03</v>
          </cell>
          <cell r="C1472">
            <v>65</v>
          </cell>
        </row>
        <row r="1473">
          <cell r="A1473">
            <v>1744015791392</v>
          </cell>
          <cell r="B1473">
            <v>1.55</v>
          </cell>
          <cell r="C1473">
            <v>20</v>
          </cell>
        </row>
        <row r="1474">
          <cell r="A1474">
            <v>1743570194303</v>
          </cell>
          <cell r="B1474">
            <v>1.95</v>
          </cell>
          <cell r="C1474">
            <v>30</v>
          </cell>
        </row>
        <row r="1475">
          <cell r="A1475">
            <v>1743741530193</v>
          </cell>
          <cell r="B1475">
            <v>4.84</v>
          </cell>
          <cell r="C1475">
            <v>60</v>
          </cell>
        </row>
        <row r="1476">
          <cell r="A1476">
            <v>1743569130997</v>
          </cell>
          <cell r="B1476">
            <v>2.16</v>
          </cell>
          <cell r="C1476">
            <v>25</v>
          </cell>
        </row>
        <row r="1477">
          <cell r="A1477">
            <v>1742974240134</v>
          </cell>
          <cell r="B1477">
            <v>4.4000000000000004</v>
          </cell>
          <cell r="C1477">
            <v>55</v>
          </cell>
        </row>
        <row r="1478">
          <cell r="A1478">
            <v>1743569317290</v>
          </cell>
          <cell r="B1478">
            <v>2.5099999999999998</v>
          </cell>
          <cell r="C1478">
            <v>30</v>
          </cell>
        </row>
        <row r="1479">
          <cell r="A1479">
            <v>1743567875427</v>
          </cell>
          <cell r="B1479">
            <v>4.22</v>
          </cell>
          <cell r="C1479">
            <v>65</v>
          </cell>
        </row>
        <row r="1480">
          <cell r="A1480">
            <v>1742620035329</v>
          </cell>
          <cell r="B1480">
            <v>5.09</v>
          </cell>
          <cell r="C1480">
            <v>75</v>
          </cell>
        </row>
        <row r="1481">
          <cell r="A1481">
            <v>1742542114139</v>
          </cell>
          <cell r="B1481">
            <v>4.99</v>
          </cell>
          <cell r="C1481">
            <v>60</v>
          </cell>
        </row>
        <row r="1482">
          <cell r="A1482">
            <v>1742191423894</v>
          </cell>
          <cell r="B1482">
            <v>6.25</v>
          </cell>
          <cell r="C1482">
            <v>85</v>
          </cell>
        </row>
        <row r="1483">
          <cell r="A1483">
            <v>1730961946847</v>
          </cell>
          <cell r="B1483">
            <v>7.81</v>
          </cell>
          <cell r="C1483">
            <v>70</v>
          </cell>
        </row>
        <row r="1484">
          <cell r="A1484">
            <v>1742618597643</v>
          </cell>
          <cell r="B1484">
            <v>4.92</v>
          </cell>
          <cell r="C1484">
            <v>60</v>
          </cell>
        </row>
        <row r="1485">
          <cell r="A1485">
            <v>1742963263152</v>
          </cell>
          <cell r="B1485">
            <v>5.63</v>
          </cell>
          <cell r="C1485">
            <v>75</v>
          </cell>
        </row>
        <row r="1486">
          <cell r="A1486">
            <v>1730964191811</v>
          </cell>
          <cell r="B1486">
            <v>7.48</v>
          </cell>
          <cell r="C1486">
            <v>80</v>
          </cell>
        </row>
        <row r="1487">
          <cell r="A1487">
            <v>1730703363159</v>
          </cell>
          <cell r="B1487">
            <v>2.97</v>
          </cell>
          <cell r="C1487">
            <v>35</v>
          </cell>
        </row>
        <row r="1488">
          <cell r="A1488">
            <v>1731046588485</v>
          </cell>
          <cell r="B1488">
            <v>7.44</v>
          </cell>
          <cell r="C1488">
            <v>85</v>
          </cell>
        </row>
        <row r="1489">
          <cell r="A1489">
            <v>1730700789179</v>
          </cell>
          <cell r="B1489">
            <v>5.31</v>
          </cell>
          <cell r="C1489">
            <v>60</v>
          </cell>
        </row>
        <row r="1490">
          <cell r="A1490">
            <v>1741758851895</v>
          </cell>
          <cell r="B1490">
            <v>6.5</v>
          </cell>
          <cell r="C1490">
            <v>65</v>
          </cell>
        </row>
        <row r="1491">
          <cell r="A1491">
            <v>1742192792945</v>
          </cell>
          <cell r="B1491">
            <v>8.77</v>
          </cell>
          <cell r="C1491">
            <v>105</v>
          </cell>
        </row>
        <row r="1492">
          <cell r="A1492">
            <v>1742961660903</v>
          </cell>
          <cell r="B1492">
            <v>4.4800000000000004</v>
          </cell>
          <cell r="C1492">
            <v>65</v>
          </cell>
        </row>
        <row r="1493">
          <cell r="A1493">
            <v>1730958666861</v>
          </cell>
          <cell r="B1493">
            <v>8.9499999999999993</v>
          </cell>
          <cell r="C1493">
            <v>105</v>
          </cell>
        </row>
        <row r="1494">
          <cell r="A1494">
            <v>1730703220179</v>
          </cell>
          <cell r="B1494">
            <v>6.08</v>
          </cell>
          <cell r="C1494">
            <v>55</v>
          </cell>
        </row>
        <row r="1495">
          <cell r="A1495">
            <v>1730707358740</v>
          </cell>
          <cell r="B1495">
            <v>7.19</v>
          </cell>
          <cell r="C1495">
            <v>50</v>
          </cell>
        </row>
        <row r="1496">
          <cell r="A1496">
            <v>1742622545725</v>
          </cell>
          <cell r="B1496">
            <v>6.54</v>
          </cell>
          <cell r="C1496">
            <v>80</v>
          </cell>
        </row>
        <row r="1497">
          <cell r="A1497">
            <v>1730703045284</v>
          </cell>
          <cell r="B1497">
            <v>8.7799999999999994</v>
          </cell>
          <cell r="C1497">
            <v>80</v>
          </cell>
        </row>
        <row r="1498">
          <cell r="A1498">
            <v>1742961941979</v>
          </cell>
          <cell r="B1498">
            <v>3.82</v>
          </cell>
          <cell r="C1498">
            <v>50</v>
          </cell>
        </row>
        <row r="1499">
          <cell r="A1499">
            <v>1731052678772</v>
          </cell>
          <cell r="B1499">
            <v>6.92</v>
          </cell>
          <cell r="C1499">
            <v>65</v>
          </cell>
        </row>
        <row r="1500">
          <cell r="A1500">
            <v>1730963698197</v>
          </cell>
          <cell r="B1500">
            <v>2.14</v>
          </cell>
          <cell r="C1500">
            <v>20</v>
          </cell>
        </row>
        <row r="1501">
          <cell r="A1501">
            <v>1743053518243</v>
          </cell>
          <cell r="B1501">
            <v>2.8</v>
          </cell>
          <cell r="C1501">
            <v>35</v>
          </cell>
        </row>
        <row r="1502">
          <cell r="A1502">
            <v>1742271819342</v>
          </cell>
          <cell r="B1502">
            <v>1.92</v>
          </cell>
          <cell r="C1502">
            <v>15</v>
          </cell>
        </row>
        <row r="1503">
          <cell r="A1503">
            <v>1742623073577</v>
          </cell>
          <cell r="B1503">
            <v>4.03</v>
          </cell>
          <cell r="C1503">
            <v>45</v>
          </cell>
        </row>
        <row r="1504">
          <cell r="A1504">
            <v>1730708538662</v>
          </cell>
          <cell r="B1504">
            <v>5.37</v>
          </cell>
          <cell r="C1504">
            <v>45</v>
          </cell>
        </row>
        <row r="1505">
          <cell r="A1505">
            <v>1742457537967</v>
          </cell>
          <cell r="B1505">
            <v>2.25</v>
          </cell>
          <cell r="C1505">
            <v>25</v>
          </cell>
        </row>
        <row r="1506">
          <cell r="A1506">
            <v>1742277907413</v>
          </cell>
          <cell r="B1506">
            <v>4.9000000000000004</v>
          </cell>
          <cell r="C1506">
            <v>55</v>
          </cell>
        </row>
        <row r="1507">
          <cell r="A1507">
            <v>1739771125263</v>
          </cell>
          <cell r="B1507">
            <v>6.39</v>
          </cell>
          <cell r="C1507">
            <v>50</v>
          </cell>
        </row>
        <row r="1508">
          <cell r="A1508">
            <v>1741762519453</v>
          </cell>
          <cell r="B1508">
            <v>8.64</v>
          </cell>
          <cell r="C1508">
            <v>95</v>
          </cell>
        </row>
        <row r="1509">
          <cell r="A1509">
            <v>1739770224256</v>
          </cell>
          <cell r="B1509">
            <v>8.02</v>
          </cell>
          <cell r="C1509">
            <v>75</v>
          </cell>
        </row>
        <row r="1510">
          <cell r="A1510">
            <v>1741767699435</v>
          </cell>
          <cell r="B1510">
            <v>1.98</v>
          </cell>
          <cell r="C1510">
            <v>20</v>
          </cell>
        </row>
        <row r="1511">
          <cell r="A1511">
            <v>1741672911115</v>
          </cell>
          <cell r="B1511">
            <v>4.09</v>
          </cell>
          <cell r="C1511">
            <v>40</v>
          </cell>
        </row>
        <row r="1512">
          <cell r="A1512">
            <v>1742451238962</v>
          </cell>
          <cell r="B1512">
            <v>6.44</v>
          </cell>
          <cell r="C1512">
            <v>60</v>
          </cell>
        </row>
        <row r="1513">
          <cell r="A1513">
            <v>1739597200149</v>
          </cell>
          <cell r="B1513">
            <v>2.46</v>
          </cell>
          <cell r="C1513">
            <v>25</v>
          </cell>
        </row>
        <row r="1514">
          <cell r="A1514">
            <v>1742189389749</v>
          </cell>
          <cell r="B1514">
            <v>4.07</v>
          </cell>
          <cell r="C1514">
            <v>55</v>
          </cell>
        </row>
        <row r="1515">
          <cell r="A1515">
            <v>1741762639518</v>
          </cell>
          <cell r="B1515">
            <v>1.92</v>
          </cell>
          <cell r="C1515">
            <v>30</v>
          </cell>
        </row>
        <row r="1516">
          <cell r="A1516">
            <v>1742191162902</v>
          </cell>
          <cell r="B1516">
            <v>1.72</v>
          </cell>
          <cell r="C1516">
            <v>15</v>
          </cell>
        </row>
        <row r="1517">
          <cell r="A1517">
            <v>1739599704354</v>
          </cell>
          <cell r="B1517">
            <v>3.65</v>
          </cell>
          <cell r="C1517">
            <v>45</v>
          </cell>
        </row>
        <row r="1518">
          <cell r="A1518">
            <v>1741677535779</v>
          </cell>
          <cell r="B1518">
            <v>6.71</v>
          </cell>
          <cell r="C1518">
            <v>100</v>
          </cell>
        </row>
        <row r="1519">
          <cell r="A1519">
            <v>1742201811611</v>
          </cell>
          <cell r="B1519">
            <v>3.46</v>
          </cell>
          <cell r="C1519">
            <v>40</v>
          </cell>
        </row>
        <row r="1520">
          <cell r="A1520">
            <v>1741760483683</v>
          </cell>
          <cell r="B1520">
            <v>4.04</v>
          </cell>
          <cell r="C1520">
            <v>45</v>
          </cell>
        </row>
        <row r="1521">
          <cell r="A1521">
            <v>1742365654809</v>
          </cell>
          <cell r="B1521">
            <v>0.94</v>
          </cell>
          <cell r="C1521">
            <v>15</v>
          </cell>
        </row>
        <row r="1522">
          <cell r="A1522">
            <v>1741682496026</v>
          </cell>
          <cell r="B1522">
            <v>3.84</v>
          </cell>
          <cell r="C1522">
            <v>45</v>
          </cell>
        </row>
        <row r="1523">
          <cell r="A1523">
            <v>1739773029644</v>
          </cell>
          <cell r="B1523">
            <v>5.28</v>
          </cell>
          <cell r="C1523">
            <v>75</v>
          </cell>
        </row>
        <row r="1524">
          <cell r="A1524">
            <v>1742379395275</v>
          </cell>
          <cell r="B1524">
            <v>1.0900000000000001</v>
          </cell>
          <cell r="C1524">
            <v>25</v>
          </cell>
        </row>
        <row r="1525">
          <cell r="A1525">
            <v>1742362075475</v>
          </cell>
          <cell r="B1525">
            <v>5.73</v>
          </cell>
          <cell r="C1525">
            <v>65</v>
          </cell>
        </row>
        <row r="1526">
          <cell r="A1526">
            <v>1741334093247</v>
          </cell>
          <cell r="B1526">
            <v>3.88</v>
          </cell>
          <cell r="C1526">
            <v>50</v>
          </cell>
        </row>
        <row r="1527">
          <cell r="A1527">
            <v>1741421737192</v>
          </cell>
          <cell r="B1527">
            <v>5.24</v>
          </cell>
          <cell r="C1527">
            <v>75</v>
          </cell>
        </row>
        <row r="1528">
          <cell r="A1528">
            <v>1742450661822</v>
          </cell>
          <cell r="B1528">
            <v>2.52</v>
          </cell>
          <cell r="C1528">
            <v>25</v>
          </cell>
        </row>
        <row r="1529">
          <cell r="A1529">
            <v>1741671458814</v>
          </cell>
          <cell r="B1529">
            <v>11.15</v>
          </cell>
          <cell r="C1529">
            <v>120</v>
          </cell>
        </row>
        <row r="1530">
          <cell r="A1530">
            <v>1740647605980</v>
          </cell>
          <cell r="B1530">
            <v>4.46</v>
          </cell>
          <cell r="C1530">
            <v>50</v>
          </cell>
        </row>
        <row r="1531">
          <cell r="A1531">
            <v>1741324305272</v>
          </cell>
          <cell r="B1531">
            <v>5.29</v>
          </cell>
          <cell r="C1531">
            <v>50</v>
          </cell>
        </row>
        <row r="1532">
          <cell r="A1532">
            <v>1741421093285</v>
          </cell>
          <cell r="B1532">
            <v>15.03</v>
          </cell>
          <cell r="C1532">
            <v>165</v>
          </cell>
        </row>
        <row r="1533">
          <cell r="A1533">
            <v>1741236252011</v>
          </cell>
          <cell r="B1533">
            <v>1.98</v>
          </cell>
          <cell r="C1533">
            <v>20</v>
          </cell>
        </row>
        <row r="1534">
          <cell r="A1534">
            <v>1740634555735</v>
          </cell>
          <cell r="B1534">
            <v>4.0199999999999996</v>
          </cell>
          <cell r="C1534">
            <v>30</v>
          </cell>
        </row>
        <row r="1535">
          <cell r="A1535">
            <v>1741591103045</v>
          </cell>
          <cell r="B1535">
            <v>2.11</v>
          </cell>
          <cell r="C1535">
            <v>25</v>
          </cell>
        </row>
        <row r="1536">
          <cell r="A1536">
            <v>1741502951234</v>
          </cell>
          <cell r="B1536">
            <v>0.32</v>
          </cell>
          <cell r="C1536">
            <v>5</v>
          </cell>
        </row>
        <row r="1537">
          <cell r="A1537">
            <v>1741688764307</v>
          </cell>
          <cell r="B1537">
            <v>10.36</v>
          </cell>
          <cell r="C1537">
            <v>105</v>
          </cell>
        </row>
        <row r="1538">
          <cell r="A1538">
            <v>1741326805887</v>
          </cell>
          <cell r="B1538">
            <v>5.12</v>
          </cell>
          <cell r="C1538">
            <v>50</v>
          </cell>
        </row>
        <row r="1539">
          <cell r="A1539">
            <v>1741151634791</v>
          </cell>
          <cell r="B1539">
            <v>13.31</v>
          </cell>
          <cell r="C1539">
            <v>140</v>
          </cell>
        </row>
        <row r="1540">
          <cell r="A1540">
            <v>1741419832239</v>
          </cell>
          <cell r="B1540">
            <v>1.37</v>
          </cell>
          <cell r="C1540">
            <v>15</v>
          </cell>
        </row>
        <row r="1541">
          <cell r="A1541">
            <v>1741410012917</v>
          </cell>
          <cell r="B1541">
            <v>5.68</v>
          </cell>
          <cell r="C1541">
            <v>55</v>
          </cell>
        </row>
        <row r="1542">
          <cell r="A1542">
            <v>1741246808209</v>
          </cell>
          <cell r="B1542">
            <v>6.92</v>
          </cell>
          <cell r="C1542">
            <v>65</v>
          </cell>
        </row>
        <row r="1543">
          <cell r="A1543">
            <v>1741677183788</v>
          </cell>
          <cell r="B1543">
            <v>2.19</v>
          </cell>
          <cell r="C1543">
            <v>25</v>
          </cell>
        </row>
        <row r="1544">
          <cell r="A1544">
            <v>1741323247870</v>
          </cell>
          <cell r="B1544">
            <v>2.2799999999999998</v>
          </cell>
          <cell r="C1544">
            <v>25</v>
          </cell>
        </row>
        <row r="1545">
          <cell r="A1545">
            <v>1741331633442</v>
          </cell>
          <cell r="B1545">
            <v>2.75</v>
          </cell>
          <cell r="C1545">
            <v>30</v>
          </cell>
        </row>
        <row r="1546">
          <cell r="A1546">
            <v>1741333434883</v>
          </cell>
          <cell r="B1546">
            <v>7.89</v>
          </cell>
          <cell r="C1546">
            <v>80</v>
          </cell>
        </row>
        <row r="1547">
          <cell r="A1547">
            <v>1741584795586</v>
          </cell>
          <cell r="B1547">
            <v>0.5</v>
          </cell>
          <cell r="C1547">
            <v>5</v>
          </cell>
        </row>
        <row r="1548">
          <cell r="A1548">
            <v>1741243063844</v>
          </cell>
          <cell r="B1548">
            <v>8.1999999999999993</v>
          </cell>
          <cell r="C1548">
            <v>85</v>
          </cell>
        </row>
        <row r="1549">
          <cell r="A1549">
            <v>1741495331844</v>
          </cell>
          <cell r="B1549">
            <v>1.61</v>
          </cell>
          <cell r="C1549">
            <v>20</v>
          </cell>
        </row>
        <row r="1550">
          <cell r="A1550">
            <v>1741422026788</v>
          </cell>
          <cell r="B1550">
            <v>1.42</v>
          </cell>
          <cell r="C1550">
            <v>15</v>
          </cell>
        </row>
        <row r="1551">
          <cell r="A1551">
            <v>1741501731644</v>
          </cell>
          <cell r="B1551">
            <v>7.43</v>
          </cell>
          <cell r="C1551">
            <v>65</v>
          </cell>
        </row>
        <row r="1552">
          <cell r="A1552">
            <v>1741333421895</v>
          </cell>
          <cell r="B1552">
            <v>1.71</v>
          </cell>
          <cell r="C1552">
            <v>20</v>
          </cell>
        </row>
        <row r="1553">
          <cell r="A1553">
            <v>1741416760591</v>
          </cell>
          <cell r="B1553">
            <v>1.76</v>
          </cell>
          <cell r="C1553">
            <v>20</v>
          </cell>
        </row>
        <row r="1554">
          <cell r="A1554">
            <v>1741238932890</v>
          </cell>
          <cell r="B1554">
            <v>2.08</v>
          </cell>
          <cell r="C1554">
            <v>30</v>
          </cell>
        </row>
        <row r="1555">
          <cell r="A1555">
            <v>1741068090035</v>
          </cell>
          <cell r="B1555">
            <v>1.36</v>
          </cell>
          <cell r="C1555">
            <v>15</v>
          </cell>
        </row>
        <row r="1556">
          <cell r="A1556">
            <v>1740380376705</v>
          </cell>
          <cell r="B1556">
            <v>4.71</v>
          </cell>
          <cell r="C1556">
            <v>55</v>
          </cell>
        </row>
        <row r="1557">
          <cell r="A1557">
            <v>1740377111480</v>
          </cell>
          <cell r="B1557">
            <v>0.96</v>
          </cell>
          <cell r="C1557">
            <v>10</v>
          </cell>
        </row>
        <row r="1558">
          <cell r="A1558">
            <v>1740026573633</v>
          </cell>
          <cell r="B1558">
            <v>5.59</v>
          </cell>
          <cell r="C1558">
            <v>40</v>
          </cell>
        </row>
        <row r="1559">
          <cell r="A1559">
            <v>1739857275338</v>
          </cell>
          <cell r="B1559">
            <v>3.1</v>
          </cell>
          <cell r="C1559">
            <v>45</v>
          </cell>
        </row>
        <row r="1560">
          <cell r="A1560">
            <v>1740981010269</v>
          </cell>
          <cell r="B1560">
            <v>2.21</v>
          </cell>
          <cell r="C1560">
            <v>20</v>
          </cell>
        </row>
        <row r="1561">
          <cell r="A1561">
            <v>1740632463502</v>
          </cell>
          <cell r="B1561">
            <v>7.03</v>
          </cell>
          <cell r="C1561">
            <v>75</v>
          </cell>
        </row>
        <row r="1562">
          <cell r="A1562">
            <v>1739598354475</v>
          </cell>
          <cell r="B1562">
            <v>6.25</v>
          </cell>
          <cell r="C1562">
            <v>70</v>
          </cell>
        </row>
        <row r="1563">
          <cell r="A1563">
            <v>1740117553278</v>
          </cell>
          <cell r="B1563">
            <v>6.62</v>
          </cell>
          <cell r="C1563">
            <v>70</v>
          </cell>
        </row>
        <row r="1564">
          <cell r="A1564">
            <v>1740721108806</v>
          </cell>
          <cell r="B1564">
            <v>6.67</v>
          </cell>
          <cell r="C1564">
            <v>80</v>
          </cell>
        </row>
        <row r="1565">
          <cell r="A1565">
            <v>1741414694229</v>
          </cell>
          <cell r="B1565">
            <v>8.01</v>
          </cell>
          <cell r="C1565">
            <v>85</v>
          </cell>
        </row>
        <row r="1566">
          <cell r="A1566">
            <v>1740466715965</v>
          </cell>
          <cell r="B1566">
            <v>4.8600000000000003</v>
          </cell>
          <cell r="C1566">
            <v>50</v>
          </cell>
        </row>
        <row r="1567">
          <cell r="A1567">
            <v>1739597736205</v>
          </cell>
          <cell r="B1567">
            <v>6.96</v>
          </cell>
          <cell r="C1567">
            <v>120</v>
          </cell>
        </row>
        <row r="1568">
          <cell r="A1568">
            <v>1740808714277</v>
          </cell>
          <cell r="B1568">
            <v>6.32</v>
          </cell>
          <cell r="C1568">
            <v>55</v>
          </cell>
        </row>
        <row r="1569">
          <cell r="A1569">
            <v>1739775047017</v>
          </cell>
          <cell r="B1569">
            <v>5.89</v>
          </cell>
          <cell r="C1569">
            <v>80</v>
          </cell>
        </row>
        <row r="1570">
          <cell r="A1570">
            <v>1740808301693</v>
          </cell>
          <cell r="B1570">
            <v>4.6500000000000004</v>
          </cell>
          <cell r="C1570">
            <v>55</v>
          </cell>
        </row>
        <row r="1571">
          <cell r="A1571">
            <v>1740464541915</v>
          </cell>
          <cell r="B1571">
            <v>5.67</v>
          </cell>
          <cell r="C1571">
            <v>60</v>
          </cell>
        </row>
        <row r="1572">
          <cell r="A1572">
            <v>1740807892050</v>
          </cell>
          <cell r="B1572">
            <v>2.74</v>
          </cell>
          <cell r="C1572">
            <v>30</v>
          </cell>
        </row>
        <row r="1573">
          <cell r="A1573">
            <v>1740465781140</v>
          </cell>
          <cell r="B1573">
            <v>7.06</v>
          </cell>
          <cell r="C1573">
            <v>60</v>
          </cell>
        </row>
        <row r="1574">
          <cell r="A1574">
            <v>1739770770744</v>
          </cell>
          <cell r="B1574">
            <v>3.81</v>
          </cell>
          <cell r="C1574">
            <v>55</v>
          </cell>
        </row>
        <row r="1575">
          <cell r="A1575">
            <v>1740470174251</v>
          </cell>
          <cell r="B1575">
            <v>3.15</v>
          </cell>
          <cell r="C1575">
            <v>30</v>
          </cell>
        </row>
        <row r="1576">
          <cell r="A1576">
            <v>1740739189888</v>
          </cell>
          <cell r="B1576">
            <v>3.63</v>
          </cell>
          <cell r="C1576">
            <v>40</v>
          </cell>
        </row>
        <row r="1577">
          <cell r="A1577">
            <v>1740214786292</v>
          </cell>
          <cell r="B1577">
            <v>3.61</v>
          </cell>
          <cell r="C1577">
            <v>45</v>
          </cell>
        </row>
        <row r="1578">
          <cell r="A1578">
            <v>1740813177890</v>
          </cell>
          <cell r="B1578">
            <v>10.39</v>
          </cell>
          <cell r="C1578">
            <v>170</v>
          </cell>
        </row>
        <row r="1579">
          <cell r="A1579">
            <v>1740824679025</v>
          </cell>
          <cell r="B1579">
            <v>1.33</v>
          </cell>
          <cell r="C1579">
            <v>15</v>
          </cell>
        </row>
        <row r="1580">
          <cell r="A1580">
            <v>1740720544997</v>
          </cell>
          <cell r="B1580">
            <v>1.86</v>
          </cell>
          <cell r="C1580">
            <v>25</v>
          </cell>
        </row>
        <row r="1581">
          <cell r="A1581">
            <v>1739860877932</v>
          </cell>
          <cell r="B1581">
            <v>0.4</v>
          </cell>
          <cell r="C1581">
            <v>10</v>
          </cell>
        </row>
        <row r="1582">
          <cell r="A1582">
            <v>1740125891700</v>
          </cell>
          <cell r="B1582">
            <v>5.38</v>
          </cell>
          <cell r="C1582">
            <v>55</v>
          </cell>
        </row>
        <row r="1583">
          <cell r="A1583">
            <v>1740390225962</v>
          </cell>
          <cell r="B1583">
            <v>8.94</v>
          </cell>
          <cell r="C1583">
            <v>80</v>
          </cell>
        </row>
        <row r="1584">
          <cell r="A1584">
            <v>1740214372781</v>
          </cell>
          <cell r="B1584">
            <v>5.86</v>
          </cell>
          <cell r="C1584">
            <v>60</v>
          </cell>
        </row>
        <row r="1585">
          <cell r="A1585">
            <v>1739857004936</v>
          </cell>
          <cell r="B1585">
            <v>3.8</v>
          </cell>
          <cell r="C1585">
            <v>45</v>
          </cell>
        </row>
        <row r="1586">
          <cell r="A1586">
            <v>1740125239620</v>
          </cell>
          <cell r="B1586">
            <v>1.3</v>
          </cell>
          <cell r="C1586">
            <v>15</v>
          </cell>
        </row>
        <row r="1587">
          <cell r="A1587">
            <v>1740217960513</v>
          </cell>
          <cell r="B1587">
            <v>0.94</v>
          </cell>
          <cell r="C1587">
            <v>10</v>
          </cell>
        </row>
        <row r="1588">
          <cell r="A1588">
            <v>1718089086141</v>
          </cell>
          <cell r="B1588">
            <v>1.56</v>
          </cell>
          <cell r="C1588">
            <v>20</v>
          </cell>
        </row>
        <row r="1589">
          <cell r="A1589">
            <v>1740217589080</v>
          </cell>
          <cell r="B1589">
            <v>2.74</v>
          </cell>
          <cell r="C1589">
            <v>25</v>
          </cell>
        </row>
        <row r="1590">
          <cell r="A1590">
            <v>1739596507864</v>
          </cell>
          <cell r="B1590">
            <v>0.84</v>
          </cell>
          <cell r="C1590">
            <v>10</v>
          </cell>
        </row>
        <row r="1591">
          <cell r="A1591">
            <v>1731481760155</v>
          </cell>
          <cell r="B1591">
            <v>6.26</v>
          </cell>
          <cell r="C1591">
            <v>50</v>
          </cell>
        </row>
        <row r="1592">
          <cell r="A1592">
            <v>1740028214968</v>
          </cell>
          <cell r="B1592">
            <v>3.12</v>
          </cell>
          <cell r="C1592">
            <v>35</v>
          </cell>
        </row>
        <row r="1593">
          <cell r="A1593">
            <v>1738318012220</v>
          </cell>
          <cell r="B1593">
            <v>1.96</v>
          </cell>
          <cell r="C1593">
            <v>20</v>
          </cell>
        </row>
        <row r="1594">
          <cell r="A1594">
            <v>1738386716677</v>
          </cell>
          <cell r="B1594">
            <v>17.46</v>
          </cell>
          <cell r="C1594">
            <v>185</v>
          </cell>
        </row>
        <row r="1595">
          <cell r="A1595">
            <v>1740375875863</v>
          </cell>
          <cell r="B1595">
            <v>0.97</v>
          </cell>
          <cell r="C1595">
            <v>15</v>
          </cell>
        </row>
        <row r="1596">
          <cell r="A1596">
            <v>1739354330111</v>
          </cell>
          <cell r="B1596">
            <v>2.41</v>
          </cell>
          <cell r="C1596">
            <v>30</v>
          </cell>
        </row>
        <row r="1597">
          <cell r="A1597">
            <v>1739785527754</v>
          </cell>
          <cell r="B1597">
            <v>2.57</v>
          </cell>
          <cell r="C1597">
            <v>25</v>
          </cell>
        </row>
        <row r="1598">
          <cell r="A1598">
            <v>1740121890585</v>
          </cell>
          <cell r="B1598">
            <v>1.95</v>
          </cell>
          <cell r="C1598">
            <v>20</v>
          </cell>
        </row>
        <row r="1599">
          <cell r="A1599">
            <v>1739784652787</v>
          </cell>
          <cell r="B1599">
            <v>5.68</v>
          </cell>
          <cell r="C1599">
            <v>60</v>
          </cell>
        </row>
        <row r="1600">
          <cell r="A1600">
            <v>1717476456483</v>
          </cell>
          <cell r="B1600">
            <v>1</v>
          </cell>
          <cell r="C1600">
            <v>15</v>
          </cell>
        </row>
        <row r="1601">
          <cell r="A1601">
            <v>1740028398993</v>
          </cell>
          <cell r="B1601">
            <v>1.52</v>
          </cell>
          <cell r="C1601">
            <v>15</v>
          </cell>
        </row>
        <row r="1602">
          <cell r="A1602">
            <v>1739854836261</v>
          </cell>
          <cell r="B1602">
            <v>8.48</v>
          </cell>
          <cell r="C1602">
            <v>120</v>
          </cell>
        </row>
        <row r="1603">
          <cell r="A1603">
            <v>1739960580542</v>
          </cell>
          <cell r="B1603">
            <v>2.96</v>
          </cell>
          <cell r="C1603">
            <v>30</v>
          </cell>
        </row>
        <row r="1604">
          <cell r="A1604">
            <v>1740038644279</v>
          </cell>
          <cell r="B1604">
            <v>4.7</v>
          </cell>
          <cell r="C1604">
            <v>65</v>
          </cell>
        </row>
        <row r="1605">
          <cell r="A1605">
            <v>1740129846615</v>
          </cell>
          <cell r="B1605">
            <v>0.74</v>
          </cell>
          <cell r="C1605">
            <v>10</v>
          </cell>
        </row>
        <row r="1606">
          <cell r="A1606">
            <v>1740033266714</v>
          </cell>
          <cell r="B1606">
            <v>5.03</v>
          </cell>
          <cell r="C1606">
            <v>55</v>
          </cell>
        </row>
        <row r="1607">
          <cell r="A1607">
            <v>1739252806370</v>
          </cell>
          <cell r="B1607">
            <v>1.76</v>
          </cell>
          <cell r="C1607">
            <v>25</v>
          </cell>
        </row>
        <row r="1608">
          <cell r="A1608">
            <v>1735018683690</v>
          </cell>
          <cell r="B1608">
            <v>5.89</v>
          </cell>
          <cell r="C1608">
            <v>60</v>
          </cell>
        </row>
        <row r="1609">
          <cell r="A1609">
            <v>1739784864112</v>
          </cell>
          <cell r="B1609">
            <v>0.86</v>
          </cell>
          <cell r="C1609">
            <v>10</v>
          </cell>
        </row>
        <row r="1610">
          <cell r="A1610">
            <v>1739855170252</v>
          </cell>
          <cell r="B1610">
            <v>1.66</v>
          </cell>
          <cell r="C1610">
            <v>25</v>
          </cell>
        </row>
        <row r="1611">
          <cell r="A1611">
            <v>1734680702048</v>
          </cell>
          <cell r="B1611">
            <v>4.18</v>
          </cell>
          <cell r="C1611">
            <v>45</v>
          </cell>
        </row>
        <row r="1612">
          <cell r="A1612">
            <v>1733982713217</v>
          </cell>
          <cell r="B1612">
            <v>1.75</v>
          </cell>
          <cell r="C1612">
            <v>20</v>
          </cell>
        </row>
        <row r="1613">
          <cell r="A1613">
            <v>1735194131152</v>
          </cell>
          <cell r="B1613">
            <v>5.04</v>
          </cell>
          <cell r="C1613">
            <v>60</v>
          </cell>
        </row>
        <row r="1614">
          <cell r="A1614">
            <v>1738132341764</v>
          </cell>
          <cell r="B1614">
            <v>7.06</v>
          </cell>
          <cell r="C1614">
            <v>65</v>
          </cell>
        </row>
        <row r="1615">
          <cell r="A1615">
            <v>1740113562668</v>
          </cell>
          <cell r="B1615">
            <v>7.6</v>
          </cell>
          <cell r="C1615">
            <v>95</v>
          </cell>
        </row>
        <row r="1616">
          <cell r="A1616">
            <v>1734945849009</v>
          </cell>
          <cell r="B1616">
            <v>1.87</v>
          </cell>
          <cell r="C1616">
            <v>20</v>
          </cell>
        </row>
        <row r="1617">
          <cell r="A1617">
            <v>1739786528624</v>
          </cell>
          <cell r="B1617">
            <v>0.84</v>
          </cell>
          <cell r="C1617">
            <v>10</v>
          </cell>
        </row>
        <row r="1618">
          <cell r="A1618">
            <v>1734689046289</v>
          </cell>
          <cell r="B1618">
            <v>5.41</v>
          </cell>
          <cell r="C1618">
            <v>65</v>
          </cell>
        </row>
        <row r="1619">
          <cell r="A1619">
            <v>1735018893743</v>
          </cell>
          <cell r="B1619">
            <v>3.52</v>
          </cell>
          <cell r="C1619">
            <v>45</v>
          </cell>
        </row>
        <row r="1620">
          <cell r="A1620">
            <v>1738315398131</v>
          </cell>
          <cell r="B1620">
            <v>2.9</v>
          </cell>
          <cell r="C1620">
            <v>20</v>
          </cell>
        </row>
        <row r="1621">
          <cell r="A1621">
            <v>1739784737023</v>
          </cell>
          <cell r="B1621">
            <v>4.26</v>
          </cell>
          <cell r="C1621">
            <v>40</v>
          </cell>
        </row>
        <row r="1622">
          <cell r="A1622">
            <v>1738042414505</v>
          </cell>
          <cell r="B1622">
            <v>5.28</v>
          </cell>
          <cell r="C1622">
            <v>70</v>
          </cell>
        </row>
        <row r="1623">
          <cell r="A1623">
            <v>1738386554196</v>
          </cell>
          <cell r="B1623">
            <v>2.25</v>
          </cell>
          <cell r="C1623">
            <v>30</v>
          </cell>
        </row>
        <row r="1624">
          <cell r="A1624">
            <v>1734761164661</v>
          </cell>
          <cell r="B1624">
            <v>6.2</v>
          </cell>
          <cell r="C1624">
            <v>60</v>
          </cell>
        </row>
        <row r="1625">
          <cell r="A1625">
            <v>1734595253283</v>
          </cell>
          <cell r="B1625">
            <v>4</v>
          </cell>
          <cell r="C1625">
            <v>45</v>
          </cell>
        </row>
        <row r="1626">
          <cell r="A1626">
            <v>1734678493625</v>
          </cell>
          <cell r="B1626">
            <v>7.95</v>
          </cell>
          <cell r="C1626">
            <v>70</v>
          </cell>
        </row>
        <row r="1627">
          <cell r="A1627">
            <v>1734151667873</v>
          </cell>
          <cell r="B1627">
            <v>4.9000000000000004</v>
          </cell>
          <cell r="C1627">
            <v>55</v>
          </cell>
        </row>
        <row r="1628">
          <cell r="A1628">
            <v>1733464829299</v>
          </cell>
          <cell r="B1628">
            <v>1.45</v>
          </cell>
          <cell r="C1628">
            <v>15</v>
          </cell>
        </row>
        <row r="1629">
          <cell r="A1629">
            <v>1734683880094</v>
          </cell>
          <cell r="B1629">
            <v>2.35</v>
          </cell>
          <cell r="C1629">
            <v>25</v>
          </cell>
        </row>
        <row r="1630">
          <cell r="A1630">
            <v>1738305812732</v>
          </cell>
          <cell r="B1630">
            <v>3.7</v>
          </cell>
          <cell r="C1630">
            <v>40</v>
          </cell>
        </row>
        <row r="1631">
          <cell r="A1631">
            <v>1738583521567</v>
          </cell>
          <cell r="B1631">
            <v>0.6</v>
          </cell>
          <cell r="C1631">
            <v>5</v>
          </cell>
        </row>
        <row r="1632">
          <cell r="A1632">
            <v>1738402106502</v>
          </cell>
          <cell r="B1632">
            <v>0.4</v>
          </cell>
          <cell r="C1632">
            <v>5</v>
          </cell>
        </row>
        <row r="1633">
          <cell r="A1633">
            <v>1738395919857</v>
          </cell>
          <cell r="B1633">
            <v>2.4</v>
          </cell>
          <cell r="C1633">
            <v>25</v>
          </cell>
        </row>
        <row r="1634">
          <cell r="A1634">
            <v>1734757137024</v>
          </cell>
          <cell r="B1634">
            <v>2.96</v>
          </cell>
          <cell r="C1634">
            <v>30</v>
          </cell>
        </row>
        <row r="1635">
          <cell r="A1635">
            <v>1734756683675</v>
          </cell>
          <cell r="B1635">
            <v>1.32</v>
          </cell>
          <cell r="C1635">
            <v>15</v>
          </cell>
        </row>
        <row r="1636">
          <cell r="A1636">
            <v>1737710263007</v>
          </cell>
          <cell r="B1636">
            <v>6.57</v>
          </cell>
          <cell r="C1636">
            <v>60</v>
          </cell>
        </row>
        <row r="1637">
          <cell r="A1637">
            <v>1737612550546</v>
          </cell>
          <cell r="B1637">
            <v>5.1100000000000003</v>
          </cell>
          <cell r="C1637">
            <v>45</v>
          </cell>
        </row>
        <row r="1638">
          <cell r="A1638">
            <v>1737707479159</v>
          </cell>
          <cell r="B1638">
            <v>2.56</v>
          </cell>
          <cell r="C1638">
            <v>30</v>
          </cell>
        </row>
        <row r="1639">
          <cell r="A1639">
            <v>1733307715093</v>
          </cell>
          <cell r="B1639">
            <v>1.48</v>
          </cell>
          <cell r="C1639">
            <v>20</v>
          </cell>
        </row>
        <row r="1640">
          <cell r="A1640">
            <v>1738137121301</v>
          </cell>
          <cell r="B1640">
            <v>0.99</v>
          </cell>
          <cell r="C1640">
            <v>15</v>
          </cell>
        </row>
        <row r="1641">
          <cell r="A1641">
            <v>1733478798035</v>
          </cell>
          <cell r="B1641">
            <v>1.31</v>
          </cell>
          <cell r="C1641">
            <v>15</v>
          </cell>
        </row>
        <row r="1642">
          <cell r="A1642">
            <v>1733308268764</v>
          </cell>
          <cell r="B1642">
            <v>1.1299999999999999</v>
          </cell>
          <cell r="C1642">
            <v>15</v>
          </cell>
        </row>
        <row r="1643">
          <cell r="A1643">
            <v>1734756581931</v>
          </cell>
          <cell r="B1643">
            <v>0.52</v>
          </cell>
          <cell r="C1643">
            <v>5</v>
          </cell>
        </row>
        <row r="1644">
          <cell r="A1644">
            <v>1737610994684</v>
          </cell>
          <cell r="B1644">
            <v>2.5499999999999998</v>
          </cell>
          <cell r="C1644">
            <v>30</v>
          </cell>
        </row>
        <row r="1645">
          <cell r="A1645">
            <v>1738818409565</v>
          </cell>
          <cell r="B1645">
            <v>1.58</v>
          </cell>
          <cell r="C1645">
            <v>35</v>
          </cell>
        </row>
        <row r="1646">
          <cell r="A1646">
            <v>1733127620659</v>
          </cell>
          <cell r="B1646">
            <v>1.73</v>
          </cell>
          <cell r="C1646">
            <v>25</v>
          </cell>
        </row>
        <row r="1647">
          <cell r="A1647">
            <v>1733132394033</v>
          </cell>
          <cell r="B1647">
            <v>1.46</v>
          </cell>
          <cell r="C1647">
            <v>20</v>
          </cell>
        </row>
        <row r="1648">
          <cell r="A1648">
            <v>1738227723082</v>
          </cell>
          <cell r="B1648">
            <v>0.7</v>
          </cell>
          <cell r="C1648">
            <v>10</v>
          </cell>
        </row>
        <row r="1649">
          <cell r="A1649">
            <v>1734756488834</v>
          </cell>
          <cell r="B1649">
            <v>4.29</v>
          </cell>
          <cell r="C1649">
            <v>50</v>
          </cell>
        </row>
        <row r="1650">
          <cell r="A1650">
            <v>1738395293310</v>
          </cell>
          <cell r="B1650">
            <v>3.54</v>
          </cell>
          <cell r="C1650">
            <v>45</v>
          </cell>
        </row>
        <row r="1651">
          <cell r="A1651">
            <v>1738817164943</v>
          </cell>
          <cell r="B1651">
            <v>0.38</v>
          </cell>
          <cell r="C1651">
            <v>5</v>
          </cell>
        </row>
        <row r="1652">
          <cell r="A1652">
            <v>1738136909617</v>
          </cell>
          <cell r="B1652">
            <v>2.59</v>
          </cell>
          <cell r="C1652">
            <v>30</v>
          </cell>
        </row>
        <row r="1653">
          <cell r="A1653">
            <v>1738819791725</v>
          </cell>
          <cell r="B1653">
            <v>1.03</v>
          </cell>
          <cell r="C1653">
            <v>10</v>
          </cell>
        </row>
        <row r="1654">
          <cell r="A1654">
            <v>1733132613194</v>
          </cell>
          <cell r="B1654">
            <v>2.21</v>
          </cell>
          <cell r="C1654">
            <v>25</v>
          </cell>
        </row>
        <row r="1655">
          <cell r="A1655">
            <v>1733131446416</v>
          </cell>
          <cell r="B1655">
            <v>2.35</v>
          </cell>
          <cell r="C1655">
            <v>30</v>
          </cell>
        </row>
        <row r="1656">
          <cell r="A1656">
            <v>1738732151420</v>
          </cell>
          <cell r="B1656">
            <v>9.86</v>
          </cell>
          <cell r="C1656">
            <v>100</v>
          </cell>
        </row>
        <row r="1657">
          <cell r="A1657">
            <v>1734413785281</v>
          </cell>
          <cell r="B1657">
            <v>0.98</v>
          </cell>
          <cell r="C1657">
            <v>15</v>
          </cell>
        </row>
        <row r="1658">
          <cell r="A1658">
            <v>1737965463656</v>
          </cell>
          <cell r="B1658">
            <v>3.06</v>
          </cell>
          <cell r="C1658">
            <v>35</v>
          </cell>
        </row>
        <row r="1659">
          <cell r="A1659">
            <v>1734413551867</v>
          </cell>
          <cell r="B1659">
            <v>0.81</v>
          </cell>
          <cell r="C1659">
            <v>10</v>
          </cell>
        </row>
        <row r="1660">
          <cell r="A1660">
            <v>1737964209049</v>
          </cell>
          <cell r="B1660">
            <v>7.77</v>
          </cell>
          <cell r="C1660">
            <v>70</v>
          </cell>
        </row>
        <row r="1661">
          <cell r="A1661">
            <v>1739340827062</v>
          </cell>
          <cell r="B1661">
            <v>1.86</v>
          </cell>
          <cell r="C1661">
            <v>25</v>
          </cell>
        </row>
        <row r="1662">
          <cell r="A1662">
            <v>1734413729632</v>
          </cell>
          <cell r="B1662">
            <v>4.24</v>
          </cell>
          <cell r="C1662">
            <v>50</v>
          </cell>
        </row>
        <row r="1663">
          <cell r="A1663">
            <v>1733132793943</v>
          </cell>
          <cell r="B1663">
            <v>1.76</v>
          </cell>
          <cell r="C1663">
            <v>20</v>
          </cell>
        </row>
        <row r="1664">
          <cell r="A1664">
            <v>1738744843163</v>
          </cell>
          <cell r="B1664">
            <v>1.66</v>
          </cell>
          <cell r="C1664">
            <v>10</v>
          </cell>
        </row>
        <row r="1665">
          <cell r="A1665">
            <v>1738571006991</v>
          </cell>
          <cell r="B1665">
            <v>3.59</v>
          </cell>
          <cell r="C1665">
            <v>50</v>
          </cell>
        </row>
        <row r="1666">
          <cell r="A1666">
            <v>1738572448963</v>
          </cell>
          <cell r="B1666">
            <v>3.36</v>
          </cell>
          <cell r="C1666">
            <v>40</v>
          </cell>
        </row>
        <row r="1667">
          <cell r="A1667">
            <v>1738143530946</v>
          </cell>
          <cell r="B1667">
            <v>1.62</v>
          </cell>
          <cell r="C1667">
            <v>20</v>
          </cell>
        </row>
        <row r="1668">
          <cell r="A1668">
            <v>1732605000178</v>
          </cell>
          <cell r="B1668">
            <v>4.54</v>
          </cell>
          <cell r="C1668">
            <v>50</v>
          </cell>
        </row>
        <row r="1669">
          <cell r="A1669">
            <v>1734414476344</v>
          </cell>
          <cell r="B1669">
            <v>2.94</v>
          </cell>
          <cell r="C1669">
            <v>30</v>
          </cell>
        </row>
        <row r="1670">
          <cell r="A1670">
            <v>1737438113801</v>
          </cell>
          <cell r="B1670">
            <v>1.3</v>
          </cell>
          <cell r="C1670">
            <v>15</v>
          </cell>
        </row>
        <row r="1671">
          <cell r="A1671">
            <v>1738573584497</v>
          </cell>
          <cell r="B1671">
            <v>4.01</v>
          </cell>
          <cell r="C1671">
            <v>40</v>
          </cell>
        </row>
        <row r="1672">
          <cell r="A1672">
            <v>1731563635248</v>
          </cell>
          <cell r="B1672">
            <v>3.34</v>
          </cell>
          <cell r="C1672">
            <v>40</v>
          </cell>
        </row>
        <row r="1673">
          <cell r="A1673">
            <v>1737963717561</v>
          </cell>
          <cell r="B1673">
            <v>3.33</v>
          </cell>
          <cell r="C1673">
            <v>30</v>
          </cell>
        </row>
        <row r="1674">
          <cell r="A1674">
            <v>1733378092152</v>
          </cell>
          <cell r="B1674">
            <v>1.1499999999999999</v>
          </cell>
          <cell r="C1674">
            <v>10</v>
          </cell>
        </row>
        <row r="1675">
          <cell r="A1675">
            <v>1732263136222</v>
          </cell>
          <cell r="B1675">
            <v>1.93</v>
          </cell>
          <cell r="C1675">
            <v>25</v>
          </cell>
        </row>
        <row r="1676">
          <cell r="A1676">
            <v>1734414601013</v>
          </cell>
          <cell r="B1676">
            <v>3.93</v>
          </cell>
          <cell r="C1676">
            <v>25</v>
          </cell>
        </row>
        <row r="1677">
          <cell r="A1677">
            <v>1731909126088</v>
          </cell>
          <cell r="B1677">
            <v>2.3199999999999998</v>
          </cell>
          <cell r="C1677">
            <v>30</v>
          </cell>
        </row>
        <row r="1678">
          <cell r="A1678">
            <v>1733131324671</v>
          </cell>
          <cell r="B1678">
            <v>0.72</v>
          </cell>
          <cell r="C1678">
            <v>10</v>
          </cell>
        </row>
        <row r="1679">
          <cell r="A1679">
            <v>1731997197435</v>
          </cell>
          <cell r="B1679">
            <v>1.2</v>
          </cell>
          <cell r="C1679">
            <v>15</v>
          </cell>
        </row>
        <row r="1680">
          <cell r="A1680">
            <v>1731573093504</v>
          </cell>
          <cell r="B1680">
            <v>4.53</v>
          </cell>
          <cell r="C1680">
            <v>45</v>
          </cell>
        </row>
        <row r="1681">
          <cell r="A1681">
            <v>1734413385520</v>
          </cell>
          <cell r="B1681">
            <v>2.02</v>
          </cell>
          <cell r="C1681">
            <v>15</v>
          </cell>
        </row>
        <row r="1682">
          <cell r="A1682">
            <v>1731566280842</v>
          </cell>
          <cell r="B1682">
            <v>4.76</v>
          </cell>
          <cell r="C1682">
            <v>50</v>
          </cell>
        </row>
        <row r="1683">
          <cell r="A1683">
            <v>1731573260470</v>
          </cell>
          <cell r="B1683">
            <v>1.27</v>
          </cell>
          <cell r="C1683">
            <v>15</v>
          </cell>
        </row>
        <row r="1684">
          <cell r="A1684">
            <v>1734672916987</v>
          </cell>
          <cell r="B1684">
            <v>2.39</v>
          </cell>
          <cell r="C1684">
            <v>20</v>
          </cell>
        </row>
        <row r="1685">
          <cell r="A1685">
            <v>1731910027854</v>
          </cell>
          <cell r="B1685">
            <v>3.85</v>
          </cell>
          <cell r="C1685">
            <v>40</v>
          </cell>
        </row>
        <row r="1686">
          <cell r="A1686">
            <v>1731918230139</v>
          </cell>
          <cell r="B1686">
            <v>5.44</v>
          </cell>
          <cell r="C1686">
            <v>50</v>
          </cell>
        </row>
        <row r="1687">
          <cell r="A1687">
            <v>1731396071065</v>
          </cell>
          <cell r="B1687">
            <v>1.34</v>
          </cell>
          <cell r="C1687">
            <v>15</v>
          </cell>
        </row>
        <row r="1688">
          <cell r="A1688">
            <v>1737958590843</v>
          </cell>
          <cell r="B1688">
            <v>2.74</v>
          </cell>
          <cell r="C1688">
            <v>30</v>
          </cell>
        </row>
        <row r="1689">
          <cell r="A1689">
            <v>1732003294425</v>
          </cell>
          <cell r="B1689">
            <v>3.2</v>
          </cell>
          <cell r="C1689">
            <v>35</v>
          </cell>
        </row>
        <row r="1690">
          <cell r="A1690">
            <v>1731998622487</v>
          </cell>
          <cell r="B1690">
            <v>0.89</v>
          </cell>
          <cell r="C1690">
            <v>10</v>
          </cell>
        </row>
        <row r="1691">
          <cell r="A1691">
            <v>1731998194307</v>
          </cell>
          <cell r="B1691">
            <v>1.24</v>
          </cell>
          <cell r="C1691">
            <v>15</v>
          </cell>
        </row>
        <row r="1692">
          <cell r="A1692">
            <v>1732175835931</v>
          </cell>
          <cell r="B1692">
            <v>0.78</v>
          </cell>
          <cell r="C1692">
            <v>10</v>
          </cell>
        </row>
        <row r="1693">
          <cell r="A1693">
            <v>1731749348258</v>
          </cell>
          <cell r="B1693">
            <v>2.09</v>
          </cell>
          <cell r="C1693">
            <v>25</v>
          </cell>
        </row>
        <row r="1694">
          <cell r="A1694">
            <v>1733544481131</v>
          </cell>
          <cell r="B1694">
            <v>2.65</v>
          </cell>
          <cell r="C1694">
            <v>40</v>
          </cell>
        </row>
        <row r="1695">
          <cell r="A1695">
            <v>1733723948827</v>
          </cell>
          <cell r="B1695">
            <v>5.97</v>
          </cell>
          <cell r="C1695">
            <v>65</v>
          </cell>
        </row>
        <row r="1696">
          <cell r="A1696">
            <v>1734325462740</v>
          </cell>
          <cell r="B1696">
            <v>5.59</v>
          </cell>
          <cell r="C1696">
            <v>65</v>
          </cell>
        </row>
        <row r="1697">
          <cell r="A1697">
            <v>1732609116088</v>
          </cell>
          <cell r="B1697">
            <v>1.47</v>
          </cell>
          <cell r="C1697">
            <v>15</v>
          </cell>
        </row>
        <row r="1698">
          <cell r="A1698">
            <v>1732009386203</v>
          </cell>
          <cell r="B1698">
            <v>2.73</v>
          </cell>
          <cell r="C1698">
            <v>30</v>
          </cell>
        </row>
        <row r="1699">
          <cell r="A1699">
            <v>1733544077747</v>
          </cell>
          <cell r="B1699">
            <v>0.83</v>
          </cell>
          <cell r="C1699">
            <v>10</v>
          </cell>
        </row>
        <row r="1700">
          <cell r="A1700">
            <v>1733727511537</v>
          </cell>
          <cell r="B1700">
            <v>2.46</v>
          </cell>
          <cell r="C1700">
            <v>20</v>
          </cell>
        </row>
        <row r="1701">
          <cell r="A1701">
            <v>1733728976879</v>
          </cell>
          <cell r="B1701">
            <v>5.96</v>
          </cell>
          <cell r="C1701">
            <v>85</v>
          </cell>
        </row>
        <row r="1702">
          <cell r="A1702">
            <v>1731745534609</v>
          </cell>
          <cell r="B1702">
            <v>3.21</v>
          </cell>
          <cell r="C1702">
            <v>30</v>
          </cell>
        </row>
        <row r="1703">
          <cell r="A1703">
            <v>1733896682250</v>
          </cell>
          <cell r="B1703">
            <v>0.66</v>
          </cell>
          <cell r="C1703">
            <v>10</v>
          </cell>
        </row>
        <row r="1704">
          <cell r="A1704">
            <v>1732000934489</v>
          </cell>
          <cell r="B1704">
            <v>1.0900000000000001</v>
          </cell>
          <cell r="C1704">
            <v>10</v>
          </cell>
        </row>
        <row r="1705">
          <cell r="A1705">
            <v>1731746676004</v>
          </cell>
          <cell r="B1705">
            <v>1.83</v>
          </cell>
          <cell r="C1705">
            <v>20</v>
          </cell>
        </row>
        <row r="1706">
          <cell r="A1706">
            <v>1733897475251</v>
          </cell>
          <cell r="B1706">
            <v>1.18</v>
          </cell>
          <cell r="C1706">
            <v>10</v>
          </cell>
        </row>
        <row r="1707">
          <cell r="A1707">
            <v>1731392863398</v>
          </cell>
          <cell r="B1707">
            <v>0.53</v>
          </cell>
          <cell r="C1707">
            <v>5</v>
          </cell>
        </row>
        <row r="1708">
          <cell r="A1708">
            <v>1733544319445</v>
          </cell>
          <cell r="B1708">
            <v>1.1499999999999999</v>
          </cell>
          <cell r="C1708">
            <v>20</v>
          </cell>
        </row>
        <row r="1709">
          <cell r="A1709">
            <v>1734936942127</v>
          </cell>
          <cell r="B1709">
            <v>1.1000000000000001</v>
          </cell>
          <cell r="C1709">
            <v>15</v>
          </cell>
        </row>
        <row r="1710">
          <cell r="A1710">
            <v>1733543987519</v>
          </cell>
          <cell r="B1710">
            <v>0.91</v>
          </cell>
          <cell r="C1710">
            <v>10</v>
          </cell>
        </row>
        <row r="1711">
          <cell r="A1711">
            <v>1734937120287</v>
          </cell>
          <cell r="B1711">
            <v>3.94</v>
          </cell>
          <cell r="C1711">
            <v>70</v>
          </cell>
        </row>
        <row r="1712">
          <cell r="A1712">
            <v>1734760232804</v>
          </cell>
          <cell r="B1712">
            <v>0.31</v>
          </cell>
          <cell r="C1712">
            <v>5</v>
          </cell>
        </row>
        <row r="1713">
          <cell r="A1713">
            <v>1734077820028</v>
          </cell>
          <cell r="B1713">
            <v>1.1399999999999999</v>
          </cell>
          <cell r="C1713">
            <v>20</v>
          </cell>
        </row>
        <row r="1714">
          <cell r="A1714">
            <v>1738322186399</v>
          </cell>
          <cell r="B1714">
            <v>1.74</v>
          </cell>
          <cell r="C1714">
            <v>25</v>
          </cell>
        </row>
        <row r="1715">
          <cell r="A1715">
            <v>1734078523939</v>
          </cell>
          <cell r="B1715">
            <v>2.73</v>
          </cell>
          <cell r="C1715">
            <v>40</v>
          </cell>
        </row>
        <row r="1716">
          <cell r="A1716">
            <v>1733729464996</v>
          </cell>
          <cell r="B1716">
            <v>1.04</v>
          </cell>
          <cell r="C1716">
            <v>15</v>
          </cell>
        </row>
        <row r="1717">
          <cell r="A1717">
            <v>1735019908903</v>
          </cell>
          <cell r="B1717">
            <v>0.36</v>
          </cell>
          <cell r="C1717">
            <v>5</v>
          </cell>
        </row>
        <row r="1718">
          <cell r="A1718">
            <v>1733808449321</v>
          </cell>
          <cell r="B1718">
            <v>1.05</v>
          </cell>
          <cell r="C1718">
            <v>15</v>
          </cell>
        </row>
        <row r="1719">
          <cell r="A1719">
            <v>1734152428885</v>
          </cell>
          <cell r="B1719">
            <v>0.7</v>
          </cell>
          <cell r="C1719">
            <v>10</v>
          </cell>
        </row>
        <row r="1720">
          <cell r="A1720">
            <v>1734672186392</v>
          </cell>
          <cell r="B1720">
            <v>1</v>
          </cell>
          <cell r="C1720">
            <v>10</v>
          </cell>
        </row>
        <row r="1721">
          <cell r="A1721">
            <v>1734152256656</v>
          </cell>
          <cell r="B1721">
            <v>1.1100000000000001</v>
          </cell>
          <cell r="C1721">
            <v>15</v>
          </cell>
        </row>
        <row r="1722">
          <cell r="A1722">
            <v>1733725781969</v>
          </cell>
          <cell r="B1722">
            <v>0.22</v>
          </cell>
          <cell r="C1722">
            <v>5</v>
          </cell>
        </row>
        <row r="1723">
          <cell r="A1723">
            <v>1733546293131</v>
          </cell>
          <cell r="B1723">
            <v>0.3</v>
          </cell>
          <cell r="C1723">
            <v>5</v>
          </cell>
        </row>
        <row r="1724">
          <cell r="A1724">
            <v>1734936132253</v>
          </cell>
          <cell r="B1724">
            <v>0.3</v>
          </cell>
          <cell r="C1724">
            <v>5</v>
          </cell>
        </row>
        <row r="1725">
          <cell r="A1725">
            <v>1734079621076</v>
          </cell>
          <cell r="B1725">
            <v>1.62</v>
          </cell>
          <cell r="C1725">
            <v>20</v>
          </cell>
        </row>
        <row r="1726">
          <cell r="A1726">
            <v>1733544399908</v>
          </cell>
          <cell r="B1726">
            <v>1.05</v>
          </cell>
          <cell r="C1726">
            <v>15</v>
          </cell>
        </row>
        <row r="1727">
          <cell r="A1727">
            <v>1734586133729</v>
          </cell>
          <cell r="B1727">
            <v>1.29</v>
          </cell>
          <cell r="C1727">
            <v>20</v>
          </cell>
        </row>
        <row r="1728">
          <cell r="A1728">
            <v>1733548322587</v>
          </cell>
          <cell r="B1728">
            <v>0.88</v>
          </cell>
          <cell r="C1728">
            <v>10</v>
          </cell>
        </row>
        <row r="1729">
          <cell r="A1729">
            <v>1734154290591</v>
          </cell>
          <cell r="B1729">
            <v>1.56</v>
          </cell>
          <cell r="C1729">
            <v>20</v>
          </cell>
        </row>
        <row r="1730">
          <cell r="A1730">
            <v>1738061659057</v>
          </cell>
          <cell r="B1730">
            <v>0.55000000000000004</v>
          </cell>
          <cell r="C1730">
            <v>10</v>
          </cell>
        </row>
        <row r="1731">
          <cell r="A1731">
            <v>1733543485980</v>
          </cell>
          <cell r="B1731">
            <v>0.89</v>
          </cell>
          <cell r="C1731">
            <v>10</v>
          </cell>
        </row>
        <row r="1732">
          <cell r="A1732">
            <v>1731137718299</v>
          </cell>
          <cell r="B1732">
            <v>0.74</v>
          </cell>
          <cell r="C1732">
            <v>30</v>
          </cell>
        </row>
        <row r="1733">
          <cell r="A1733">
            <v>1737631000022</v>
          </cell>
          <cell r="B1733">
            <v>2.8</v>
          </cell>
          <cell r="C1733">
            <v>70</v>
          </cell>
        </row>
        <row r="1734">
          <cell r="A1734">
            <v>1732778009640</v>
          </cell>
          <cell r="B1734">
            <v>0.66</v>
          </cell>
          <cell r="C1734">
            <v>20</v>
          </cell>
        </row>
        <row r="1735">
          <cell r="A1735">
            <v>1732948185482</v>
          </cell>
          <cell r="B1735">
            <v>0.68</v>
          </cell>
          <cell r="C1735">
            <v>25</v>
          </cell>
        </row>
        <row r="1736">
          <cell r="A1736">
            <v>1732776734588</v>
          </cell>
          <cell r="B1736">
            <v>0.27</v>
          </cell>
          <cell r="C1736">
            <v>15</v>
          </cell>
        </row>
        <row r="1737">
          <cell r="A1737">
            <v>1737708695583</v>
          </cell>
          <cell r="B1737">
            <v>0.12</v>
          </cell>
          <cell r="C1737">
            <v>10</v>
          </cell>
        </row>
        <row r="1738">
          <cell r="A1738">
            <v>1732857958693</v>
          </cell>
          <cell r="B1738">
            <v>0.12</v>
          </cell>
          <cell r="C1738">
            <v>5</v>
          </cell>
        </row>
        <row r="1739">
          <cell r="A1739">
            <v>1730966507413</v>
          </cell>
          <cell r="B1739">
            <v>0.3</v>
          </cell>
          <cell r="C1739">
            <v>5</v>
          </cell>
        </row>
        <row r="1740">
          <cell r="A1740">
            <v>1732776097118</v>
          </cell>
          <cell r="B1740">
            <v>0.95</v>
          </cell>
          <cell r="C1740">
            <v>10</v>
          </cell>
        </row>
        <row r="1741">
          <cell r="A1741">
            <v>1737628581344</v>
          </cell>
          <cell r="B1741">
            <v>1.17</v>
          </cell>
          <cell r="C1741">
            <v>25</v>
          </cell>
        </row>
        <row r="1742">
          <cell r="A1742">
            <v>1732948917159</v>
          </cell>
          <cell r="B1742">
            <v>0.89</v>
          </cell>
          <cell r="C1742">
            <v>20</v>
          </cell>
        </row>
        <row r="1743">
          <cell r="A1743">
            <v>1730961037180</v>
          </cell>
          <cell r="B1743">
            <v>0.3</v>
          </cell>
          <cell r="C1743">
            <v>10</v>
          </cell>
        </row>
        <row r="1744">
          <cell r="A1744">
            <v>1735891510965</v>
          </cell>
          <cell r="B1744">
            <v>1.32</v>
          </cell>
          <cell r="C1744">
            <v>15</v>
          </cell>
        </row>
        <row r="1745">
          <cell r="A1745">
            <v>1735808777143</v>
          </cell>
          <cell r="B1745">
            <v>0.75</v>
          </cell>
          <cell r="C1745">
            <v>10</v>
          </cell>
        </row>
        <row r="1746">
          <cell r="A1746">
            <v>1735888689873</v>
          </cell>
          <cell r="B1746">
            <v>1.01</v>
          </cell>
          <cell r="C1746">
            <v>15</v>
          </cell>
        </row>
        <row r="1747">
          <cell r="A1747">
            <v>1736149549635</v>
          </cell>
          <cell r="B1747">
            <v>0.65</v>
          </cell>
          <cell r="C1747">
            <v>10</v>
          </cell>
        </row>
        <row r="1748">
          <cell r="A1748">
            <v>1737349044733</v>
          </cell>
          <cell r="B1748">
            <v>1.89</v>
          </cell>
          <cell r="C1748">
            <v>20</v>
          </cell>
        </row>
        <row r="1749">
          <cell r="A1749">
            <v>1736158287116</v>
          </cell>
          <cell r="B1749">
            <v>0.47</v>
          </cell>
          <cell r="C1749">
            <v>5</v>
          </cell>
        </row>
        <row r="1750">
          <cell r="A1750">
            <v>1735807889359</v>
          </cell>
          <cell r="B1750">
            <v>0.64</v>
          </cell>
          <cell r="C1750">
            <v>10</v>
          </cell>
        </row>
        <row r="1751">
          <cell r="A1751">
            <v>1735971664592</v>
          </cell>
          <cell r="B1751">
            <v>0.74</v>
          </cell>
          <cell r="C1751">
            <v>10</v>
          </cell>
        </row>
        <row r="1752">
          <cell r="A1752">
            <v>1735811291759</v>
          </cell>
          <cell r="B1752">
            <v>0.87</v>
          </cell>
          <cell r="C1752">
            <v>10</v>
          </cell>
        </row>
        <row r="1753">
          <cell r="A1753">
            <v>1735888617580</v>
          </cell>
          <cell r="B1753">
            <v>0.36</v>
          </cell>
          <cell r="C1753">
            <v>5</v>
          </cell>
        </row>
        <row r="1754">
          <cell r="A1754">
            <v>1735972706350</v>
          </cell>
          <cell r="B1754">
            <v>1.01</v>
          </cell>
          <cell r="C1754">
            <v>10</v>
          </cell>
        </row>
        <row r="1755">
          <cell r="A1755">
            <v>1736230361019</v>
          </cell>
          <cell r="B1755">
            <v>0.08</v>
          </cell>
          <cell r="C1755">
            <v>5</v>
          </cell>
        </row>
        <row r="1756">
          <cell r="A1756">
            <v>1736319887154</v>
          </cell>
          <cell r="B1756">
            <v>0.4</v>
          </cell>
          <cell r="C1756">
            <v>5</v>
          </cell>
        </row>
        <row r="1757">
          <cell r="A1757">
            <v>1736226878585</v>
          </cell>
          <cell r="B1757">
            <v>0.42</v>
          </cell>
          <cell r="C1757">
            <v>5</v>
          </cell>
        </row>
        <row r="1758">
          <cell r="A1758">
            <v>1735885427583</v>
          </cell>
          <cell r="B1758">
            <v>1.02</v>
          </cell>
          <cell r="C1758">
            <v>12</v>
          </cell>
        </row>
        <row r="1759">
          <cell r="A1759">
            <v>1737091301714</v>
          </cell>
          <cell r="B1759">
            <v>2.8</v>
          </cell>
          <cell r="C1759">
            <v>30</v>
          </cell>
        </row>
        <row r="1760">
          <cell r="A1760">
            <v>1737281413615</v>
          </cell>
          <cell r="B1760">
            <v>0.59</v>
          </cell>
          <cell r="C1760">
            <v>5</v>
          </cell>
        </row>
        <row r="1761">
          <cell r="A1761">
            <v>1735811729583</v>
          </cell>
          <cell r="B1761">
            <v>1.36</v>
          </cell>
          <cell r="C1761">
            <v>15</v>
          </cell>
        </row>
        <row r="1762">
          <cell r="A1762">
            <v>1737279043722</v>
          </cell>
          <cell r="B1762">
            <v>1.05</v>
          </cell>
          <cell r="C1762">
            <v>15</v>
          </cell>
        </row>
        <row r="1763">
          <cell r="A1763">
            <v>1737267054558</v>
          </cell>
          <cell r="B1763">
            <v>0.64</v>
          </cell>
          <cell r="C1763">
            <v>5</v>
          </cell>
        </row>
        <row r="1764">
          <cell r="A1764">
            <v>1735811242346</v>
          </cell>
          <cell r="B1764">
            <v>0.96</v>
          </cell>
          <cell r="C1764">
            <v>10</v>
          </cell>
        </row>
        <row r="1765">
          <cell r="A1765">
            <v>1735811481097</v>
          </cell>
          <cell r="B1765">
            <v>0.84</v>
          </cell>
          <cell r="C1765">
            <v>10</v>
          </cell>
        </row>
        <row r="1766">
          <cell r="A1766">
            <v>1736155013779</v>
          </cell>
          <cell r="B1766">
            <v>1.4</v>
          </cell>
          <cell r="C1766">
            <v>15</v>
          </cell>
        </row>
        <row r="1767">
          <cell r="A1767">
            <v>1736401287034</v>
          </cell>
          <cell r="B1767">
            <v>0.85</v>
          </cell>
          <cell r="C1767">
            <v>10</v>
          </cell>
        </row>
        <row r="1768">
          <cell r="A1768">
            <v>1735892020773</v>
          </cell>
          <cell r="B1768">
            <v>0.91</v>
          </cell>
          <cell r="C1768">
            <v>10</v>
          </cell>
        </row>
        <row r="1769">
          <cell r="A1769">
            <v>1736236067708</v>
          </cell>
          <cell r="B1769">
            <v>0.66</v>
          </cell>
          <cell r="C1769">
            <v>5</v>
          </cell>
        </row>
        <row r="1770">
          <cell r="A1770">
            <v>1736238256319</v>
          </cell>
          <cell r="B1770">
            <v>0.68</v>
          </cell>
          <cell r="C1770">
            <v>10</v>
          </cell>
        </row>
        <row r="1771">
          <cell r="A1771">
            <v>1737194469202</v>
          </cell>
          <cell r="B1771">
            <v>0.97</v>
          </cell>
          <cell r="C1771">
            <v>10</v>
          </cell>
        </row>
        <row r="1772">
          <cell r="A1772">
            <v>1735801804451</v>
          </cell>
          <cell r="B1772">
            <v>0.32</v>
          </cell>
          <cell r="C1772">
            <v>5</v>
          </cell>
        </row>
        <row r="1773">
          <cell r="A1773">
            <v>1735891079521</v>
          </cell>
          <cell r="B1773">
            <v>0.18</v>
          </cell>
          <cell r="C1773">
            <v>5</v>
          </cell>
        </row>
        <row r="1774">
          <cell r="A1774">
            <v>1736766264226</v>
          </cell>
          <cell r="B1774">
            <v>0.81</v>
          </cell>
          <cell r="C1774">
            <v>10</v>
          </cell>
        </row>
        <row r="1775">
          <cell r="A1775">
            <v>1736487371670</v>
          </cell>
          <cell r="B1775">
            <v>0.3</v>
          </cell>
          <cell r="C1775">
            <v>2.5</v>
          </cell>
        </row>
        <row r="1776">
          <cell r="A1776">
            <v>1737107999170</v>
          </cell>
          <cell r="B1776">
            <v>1.21</v>
          </cell>
          <cell r="C1776">
            <v>10</v>
          </cell>
        </row>
        <row r="1777">
          <cell r="A1777">
            <v>1737088560834</v>
          </cell>
          <cell r="B1777">
            <v>1.3</v>
          </cell>
          <cell r="C1777">
            <v>15</v>
          </cell>
        </row>
        <row r="1778">
          <cell r="A1778">
            <v>1737095333542</v>
          </cell>
          <cell r="B1778">
            <v>0.41</v>
          </cell>
          <cell r="C1778">
            <v>5</v>
          </cell>
        </row>
        <row r="1779">
          <cell r="A1779">
            <v>1736743285179</v>
          </cell>
          <cell r="B1779">
            <v>0.44</v>
          </cell>
          <cell r="C1779">
            <v>7</v>
          </cell>
        </row>
        <row r="1780">
          <cell r="A1780">
            <v>1736235816065</v>
          </cell>
          <cell r="B1780">
            <v>0.38</v>
          </cell>
          <cell r="C1780">
            <v>3</v>
          </cell>
        </row>
        <row r="1781">
          <cell r="A1781">
            <v>1736316881699</v>
          </cell>
          <cell r="B1781">
            <v>1.31</v>
          </cell>
          <cell r="C1781">
            <v>15</v>
          </cell>
        </row>
        <row r="1782">
          <cell r="A1782">
            <v>1735885019337</v>
          </cell>
          <cell r="B1782">
            <v>0.65</v>
          </cell>
          <cell r="C1782">
            <v>10</v>
          </cell>
        </row>
        <row r="1783">
          <cell r="A1783">
            <v>1735815441424</v>
          </cell>
          <cell r="B1783">
            <v>0.39</v>
          </cell>
          <cell r="C1783">
            <v>5</v>
          </cell>
        </row>
        <row r="1784">
          <cell r="A1784">
            <v>1737098779344</v>
          </cell>
          <cell r="B1784">
            <v>1.22</v>
          </cell>
          <cell r="C1784">
            <v>12.5</v>
          </cell>
        </row>
        <row r="1785">
          <cell r="A1785">
            <v>1735891614897</v>
          </cell>
          <cell r="B1785">
            <v>0.39</v>
          </cell>
          <cell r="C1785">
            <v>5</v>
          </cell>
        </row>
        <row r="1786">
          <cell r="A1786">
            <v>1735883845273</v>
          </cell>
          <cell r="B1786">
            <v>0.23</v>
          </cell>
          <cell r="C1786">
            <v>2.5</v>
          </cell>
        </row>
        <row r="1787">
          <cell r="A1787">
            <v>1736405587953</v>
          </cell>
          <cell r="B1787">
            <v>0.76</v>
          </cell>
          <cell r="C1787">
            <v>7.5</v>
          </cell>
        </row>
        <row r="1788">
          <cell r="A1788">
            <v>1735890476239</v>
          </cell>
          <cell r="B1788">
            <v>0.31</v>
          </cell>
          <cell r="C1788">
            <v>5</v>
          </cell>
        </row>
        <row r="1789">
          <cell r="A1789">
            <v>1735980013796</v>
          </cell>
          <cell r="B1789">
            <v>0.28999999999999998</v>
          </cell>
          <cell r="C1789">
            <v>4</v>
          </cell>
        </row>
        <row r="1790">
          <cell r="A1790">
            <v>1735815759389</v>
          </cell>
          <cell r="B1790">
            <v>0.56999999999999995</v>
          </cell>
          <cell r="C1790">
            <v>5</v>
          </cell>
        </row>
        <row r="1791">
          <cell r="A1791">
            <v>1735796014833</v>
          </cell>
          <cell r="B1791">
            <v>0.4</v>
          </cell>
          <cell r="C1791">
            <v>5</v>
          </cell>
        </row>
        <row r="1792">
          <cell r="A1792">
            <v>1736323110861</v>
          </cell>
          <cell r="B1792">
            <v>0.33</v>
          </cell>
          <cell r="C1792">
            <v>5</v>
          </cell>
        </row>
      </sheetData>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i Carbon" refreshedDate="46120.61189108796" createdVersion="6" refreshedVersion="6" minRefreshableVersion="3" recordCount="3018" xr:uid="{00000000-000A-0000-FFFF-FFFF1B000000}">
  <cacheSource type="worksheet">
    <worksheetSource ref="A1:A1048576" sheet="kharif 2025"/>
  </cacheSource>
  <cacheFields count="1">
    <cacheField name="farmer_id" numFmtId="0">
      <sharedItems containsString="0" containsBlank="1" containsNumber="1" containsInteger="1" minValue="995" maxValue="17500572726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018">
  <r>
    <n v="1726729433611"/>
  </r>
  <r>
    <n v="1738229409347"/>
  </r>
  <r>
    <n v="1738231639812"/>
  </r>
  <r>
    <n v="1747200300435"/>
  </r>
  <r>
    <n v="1744694039008"/>
  </r>
  <r>
    <n v="1730526661966"/>
  </r>
  <r>
    <n v="1738306257831"/>
  </r>
  <r>
    <n v="1726041387616"/>
  </r>
  <r>
    <n v="1727151811431"/>
  </r>
  <r>
    <n v="1744620291141"/>
  </r>
  <r>
    <n v="1743844344980"/>
  </r>
  <r>
    <n v="1733721019866"/>
  </r>
  <r>
    <n v="1748500587905"/>
  </r>
  <r>
    <n v="1715928719043"/>
  </r>
  <r>
    <n v="1727518386307"/>
  </r>
  <r>
    <n v="1729140634986"/>
  </r>
  <r>
    <n v="1736148507326"/>
  </r>
  <r>
    <n v="2126"/>
  </r>
  <r>
    <n v="1725600601253"/>
  </r>
  <r>
    <n v="1750057272690"/>
  </r>
  <r>
    <n v="1730182354607"/>
  </r>
  <r>
    <n v="1743486604944"/>
  </r>
  <r>
    <n v="1738129011868"/>
  </r>
  <r>
    <n v="1725951396481"/>
  </r>
  <r>
    <n v="1714709737320"/>
  </r>
  <r>
    <n v="1744016112133"/>
  </r>
  <r>
    <n v="2625"/>
  </r>
  <r>
    <n v="1746455992733"/>
  </r>
  <r>
    <n v="1745481111010"/>
  </r>
  <r>
    <n v="1745495962758"/>
  </r>
  <r>
    <n v="1727419104712"/>
  </r>
  <r>
    <n v="1727518510122"/>
  </r>
  <r>
    <n v="1743575791892"/>
  </r>
  <r>
    <n v="1744868280333"/>
  </r>
  <r>
    <n v="1728631791144"/>
  </r>
  <r>
    <n v="1744782908107"/>
  </r>
  <r>
    <n v="1746189360599"/>
  </r>
  <r>
    <n v="1745396907192"/>
  </r>
  <r>
    <n v="1748585169654"/>
  </r>
  <r>
    <n v="1748314903144"/>
  </r>
  <r>
    <n v="995"/>
  </r>
  <r>
    <n v="1749790371099"/>
  </r>
  <r>
    <n v="1748846548921"/>
  </r>
  <r>
    <n v="1749192812519"/>
  </r>
  <r>
    <n v="1748670377873"/>
  </r>
  <r>
    <n v="1747203969407"/>
  </r>
  <r>
    <n v="998"/>
  </r>
  <r>
    <n v="1917"/>
  </r>
  <r>
    <n v="1710562995030"/>
  </r>
  <r>
    <n v="1711947865383"/>
  </r>
  <r>
    <n v="1746880214971"/>
  </r>
  <r>
    <n v="1748347278714"/>
  </r>
  <r>
    <n v="1744618146912"/>
  </r>
  <r>
    <n v="1748849840379"/>
  </r>
  <r>
    <n v="1730695706843"/>
  </r>
  <r>
    <n v="1748318530770"/>
  </r>
  <r>
    <n v="1727779013296"/>
  </r>
  <r>
    <n v="1747980119989"/>
  </r>
  <r>
    <n v="997"/>
  </r>
  <r>
    <n v="1748342788464"/>
  </r>
  <r>
    <n v="1725268189751"/>
  </r>
  <r>
    <n v="1748434852826"/>
  </r>
  <r>
    <n v="1748410421216"/>
  </r>
  <r>
    <n v="1748317441822"/>
  </r>
  <r>
    <n v="1724486255967"/>
  </r>
  <r>
    <n v="1729138432786"/>
  </r>
  <r>
    <n v="1716602739480"/>
  </r>
  <r>
    <n v="1748333977982"/>
  </r>
  <r>
    <n v="1749024576851"/>
  </r>
  <r>
    <n v="1748317325987"/>
  </r>
  <r>
    <n v="1723623089946"/>
  </r>
  <r>
    <n v="1728969151426"/>
  </r>
  <r>
    <n v="1710565878731"/>
  </r>
  <r>
    <n v="1728104318429"/>
  </r>
  <r>
    <n v="1729140118111"/>
  </r>
  <r>
    <n v="1749807897941"/>
  </r>
  <r>
    <n v="1729751376020"/>
  </r>
  <r>
    <n v="1724483073285"/>
  </r>
  <r>
    <n v="1730096084139"/>
  </r>
  <r>
    <n v="1727150667724"/>
  </r>
  <r>
    <n v="1725269298453"/>
  </r>
  <r>
    <n v="1725268948308"/>
  </r>
  <r>
    <n v="1729678259463"/>
  </r>
  <r>
    <n v="1738395919857"/>
  </r>
  <r>
    <n v="1730697549731"/>
  </r>
  <r>
    <n v="1729140274171"/>
  </r>
  <r>
    <n v="1736235344914"/>
  </r>
  <r>
    <n v="1730893139775"/>
  </r>
  <r>
    <n v="1869"/>
  </r>
  <r>
    <n v="1745829630705"/>
  </r>
  <r>
    <n v="1746708391295"/>
  </r>
  <r>
    <n v="1723882752617"/>
  </r>
  <r>
    <n v="1745559724382"/>
  </r>
  <r>
    <n v="1729138312697"/>
  </r>
  <r>
    <n v="1745828642300"/>
  </r>
  <r>
    <n v="1745921111183"/>
  </r>
  <r>
    <n v="1746422874580"/>
  </r>
  <r>
    <n v="1737790868899"/>
  </r>
  <r>
    <n v="1726729061453"/>
  </r>
  <r>
    <n v="1726729012955"/>
  </r>
  <r>
    <n v="1727059291255"/>
  </r>
  <r>
    <n v="2094"/>
  </r>
  <r>
    <n v="1738232623653"/>
  </r>
  <r>
    <n v="1730271485859"/>
  </r>
  <r>
    <n v="1748597683444"/>
  </r>
  <r>
    <n v="1715928008965"/>
  </r>
  <r>
    <n v="1715926256732"/>
  </r>
  <r>
    <n v="1747307907872"/>
  </r>
  <r>
    <n v="1747638343387"/>
  </r>
  <r>
    <n v="1742961660903"/>
  </r>
  <r>
    <n v="1727071912351"/>
  </r>
  <r>
    <n v="1727148521115"/>
  </r>
  <r>
    <n v="1726815514669"/>
  </r>
  <r>
    <n v="1726475147448"/>
  </r>
  <r>
    <n v="1726210854356"/>
  </r>
  <r>
    <n v="1747631698143"/>
  </r>
  <r>
    <n v="1748669502562"/>
  </r>
  <r>
    <n v="1726467464650"/>
  </r>
  <r>
    <n v="2090"/>
  </r>
  <r>
    <n v="1729054993949"/>
  </r>
  <r>
    <n v="1746683181143"/>
  </r>
  <r>
    <n v="1747635456615"/>
  </r>
  <r>
    <n v="1726652775795"/>
  </r>
  <r>
    <n v="2110"/>
  </r>
  <r>
    <n v="1747974728542"/>
  </r>
  <r>
    <n v="1747982366374"/>
  </r>
  <r>
    <n v="1722060583933"/>
  </r>
  <r>
    <n v="1726468780378"/>
  </r>
  <r>
    <n v="1723789134750"/>
  </r>
  <r>
    <n v="1723612955040"/>
  </r>
  <r>
    <n v="1725268597160"/>
  </r>
  <r>
    <n v="1725268513981"/>
  </r>
  <r>
    <n v="1747289849072"/>
  </r>
  <r>
    <n v="1749460775703"/>
  </r>
  <r>
    <n v="1749703452038"/>
  </r>
  <r>
    <n v="1747465403042"/>
  </r>
  <r>
    <n v="1747300706091"/>
  </r>
  <r>
    <n v="1747367913122"/>
  </r>
  <r>
    <n v="1744265675362"/>
  </r>
  <r>
    <n v="1744002457392"/>
  </r>
  <r>
    <n v="1726202434966"/>
  </r>
  <r>
    <n v="1730191849761"/>
  </r>
  <r>
    <n v="1749031404040"/>
  </r>
  <r>
    <n v="1748948559232"/>
  </r>
  <r>
    <n v="1738043697698"/>
  </r>
  <r>
    <n v="1737529892713"/>
  </r>
  <r>
    <n v="1723182731633"/>
  </r>
  <r>
    <n v="1728364674094"/>
  </r>
  <r>
    <n v="1748249298563"/>
  </r>
  <r>
    <n v="1727676681168"/>
  </r>
  <r>
    <n v="1727337282117"/>
  </r>
  <r>
    <n v="1747721137583"/>
  </r>
  <r>
    <n v="1719301507922"/>
  </r>
  <r>
    <n v="1749617693470"/>
  </r>
  <r>
    <n v="1724397412725"/>
  </r>
  <r>
    <n v="1712578294060"/>
  </r>
  <r>
    <n v="1730270441204"/>
  </r>
  <r>
    <n v="1730195272434"/>
  </r>
  <r>
    <n v="1716185982975"/>
  </r>
  <r>
    <n v="1748587713053"/>
  </r>
  <r>
    <n v="1747198921053"/>
  </r>
  <r>
    <n v="1746854841698"/>
  </r>
  <r>
    <n v="1747890230768"/>
  </r>
  <r>
    <n v="1727234431388"/>
  </r>
  <r>
    <n v="1747124059774"/>
  </r>
  <r>
    <n v="1747119805958"/>
  </r>
  <r>
    <n v="1725513930437"/>
  </r>
  <r>
    <n v="1726030811826"/>
  </r>
  <r>
    <n v="1725268784818"/>
  </r>
  <r>
    <n v="1725339798575"/>
  </r>
  <r>
    <n v="1727340787741"/>
  </r>
  <r>
    <n v="1726284919075"/>
  </r>
  <r>
    <n v="1727756936915"/>
  </r>
  <r>
    <n v="1748059781360"/>
  </r>
  <r>
    <n v="1747649412309"/>
  </r>
  <r>
    <n v="1723096033689"/>
  </r>
  <r>
    <n v="1747025829152"/>
  </r>
  <r>
    <n v="1748077552051"/>
  </r>
  <r>
    <n v="1747199649742"/>
  </r>
  <r>
    <n v="1747629087305"/>
  </r>
  <r>
    <n v="1746853959358"/>
  </r>
  <r>
    <n v="1729661582339"/>
  </r>
  <r>
    <n v="1746793312407"/>
  </r>
  <r>
    <n v="1738921631305"/>
  </r>
  <r>
    <n v="1726027687486"/>
  </r>
  <r>
    <n v="1747231174570"/>
  </r>
  <r>
    <n v="1747744456017"/>
  </r>
  <r>
    <n v="1748863964873"/>
  </r>
  <r>
    <n v="1746017574385"/>
  </r>
  <r>
    <n v="1747213298587"/>
  </r>
  <r>
    <n v="1747297386536"/>
  </r>
  <r>
    <n v="1746428395232"/>
  </r>
  <r>
    <n v="1747643909798"/>
  </r>
  <r>
    <n v="1747130504173"/>
  </r>
  <r>
    <n v="1747822058750"/>
  </r>
  <r>
    <n v="1730703382309"/>
  </r>
  <r>
    <n v="1747123346002"/>
  </r>
  <r>
    <n v="1727073145569"/>
  </r>
  <r>
    <n v="1747380417212"/>
  </r>
  <r>
    <n v="1747381013424"/>
  </r>
  <r>
    <n v="1748586382974"/>
  </r>
  <r>
    <n v="1726732836903"/>
  </r>
  <r>
    <n v="1747637899578"/>
  </r>
  <r>
    <n v="1748941754893"/>
  </r>
  <r>
    <n v="1747117073734"/>
  </r>
  <r>
    <n v="1747474397613"/>
  </r>
  <r>
    <n v="1748856560297"/>
  </r>
  <r>
    <n v="1747468972356"/>
  </r>
  <r>
    <n v="1748578424712"/>
  </r>
  <r>
    <n v="1748587560548"/>
  </r>
  <r>
    <n v="1748586231756"/>
  </r>
  <r>
    <n v="1748587086191"/>
  </r>
  <r>
    <n v="1749024028404"/>
  </r>
  <r>
    <n v="1726467260482"/>
  </r>
  <r>
    <n v="1743056465617"/>
  </r>
  <r>
    <n v="1746258415029"/>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1:X2" firstHeaderRow="1" firstDataRow="1" firstDataCol="0"/>
  <pivotFields count="1">
    <pivotField dataField="1" showAll="0"/>
  </pivotFields>
  <rowItems count="1">
    <i/>
  </rowItems>
  <colItems count="1">
    <i/>
  </colItems>
  <dataFields count="1">
    <dataField name="Count of farmer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52434" displayName="Table152434" ref="U1:W12" totalsRowShown="0" headerRowDxfId="8" dataDxfId="7">
  <autoFilter ref="U1:W12" xr:uid="{00000000-0009-0000-0100-000001000000}"/>
  <tableColumns count="3">
    <tableColumn id="1" xr3:uid="{00000000-0010-0000-0000-000001000000}" name="Indicator" dataDxfId="6"/>
    <tableColumn id="2" xr3:uid="{00000000-0010-0000-0000-000002000000}" name="Description" dataDxfId="5"/>
    <tableColumn id="4" xr3:uid="{00000000-0010-0000-0000-000004000000}" name="Values" dataDxfId="4"/>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C14" totalsRowShown="0">
  <autoFilter ref="A1:C14" xr:uid="{00000000-0009-0000-0100-000002000000}"/>
  <tableColumns count="3">
    <tableColumn id="1" xr3:uid="{00000000-0010-0000-0100-000001000000}" name="Indicator" dataDxfId="3"/>
    <tableColumn id="2" xr3:uid="{00000000-0010-0000-0100-000002000000}" name="Description"/>
    <tableColumn id="3" xr3:uid="{00000000-0010-0000-0100-000003000000}" name="GPM"/>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9" displayName="Table9" ref="D1:G14" totalsRowShown="0" headerRowDxfId="2">
  <autoFilter ref="D1:G14" xr:uid="{00000000-0009-0000-0100-000003000000}"/>
  <tableColumns count="4">
    <tableColumn id="1" xr3:uid="{00000000-0010-0000-0200-000001000000}" name="Seoni" dataDxfId="1"/>
    <tableColumn id="2" xr3:uid="{00000000-0010-0000-0200-000002000000}" name="Pakud" dataDxfId="0"/>
    <tableColumn id="3" xr3:uid="{00000000-0010-0000-0200-000003000000}" name="Nainpur"/>
    <tableColumn id="4" xr3:uid="{00000000-0010-0000-0200-000004000000}" name="Shahdol"/>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sqref="A1:E1"/>
    </sheetView>
  </sheetViews>
  <sheetFormatPr baseColWidth="10" defaultColWidth="8.83203125" defaultRowHeight="15" x14ac:dyDescent="0.2"/>
  <cols>
    <col min="1" max="1" width="26" customWidth="1"/>
    <col min="2" max="2" width="50" customWidth="1"/>
    <col min="3" max="3" width="8" customWidth="1"/>
    <col min="4" max="4" width="70" customWidth="1"/>
    <col min="5" max="5" width="50" customWidth="1"/>
    <col min="6" max="6" width="38" customWidth="1"/>
    <col min="7" max="7" width="48" customWidth="1"/>
  </cols>
  <sheetData>
    <row r="1" spans="1:7" x14ac:dyDescent="0.2">
      <c r="A1" s="72" t="s">
        <v>0</v>
      </c>
      <c r="B1" s="72" t="s">
        <v>1</v>
      </c>
      <c r="C1" s="72" t="s">
        <v>2</v>
      </c>
      <c r="D1" s="72" t="s">
        <v>3</v>
      </c>
      <c r="E1" s="72" t="s">
        <v>4</v>
      </c>
      <c r="F1" s="72" t="s">
        <v>5</v>
      </c>
      <c r="G1" s="72" t="s">
        <v>6</v>
      </c>
    </row>
    <row r="2" spans="1:7" ht="80" x14ac:dyDescent="0.2">
      <c r="A2" s="73" t="s">
        <v>7</v>
      </c>
      <c r="B2" s="73" t="s">
        <v>8</v>
      </c>
      <c r="C2" s="73" t="s">
        <v>9</v>
      </c>
      <c r="D2" s="73" t="s">
        <v>10</v>
      </c>
      <c r="E2" s="73" t="s">
        <v>11</v>
      </c>
      <c r="F2" s="73" t="s">
        <v>12</v>
      </c>
      <c r="G2" s="73" t="s">
        <v>13</v>
      </c>
    </row>
    <row r="3" spans="1:7" ht="96" x14ac:dyDescent="0.2">
      <c r="A3" s="73" t="s">
        <v>14</v>
      </c>
      <c r="B3" s="73" t="s">
        <v>15</v>
      </c>
      <c r="C3" s="73" t="s">
        <v>16</v>
      </c>
      <c r="D3" s="73" t="s">
        <v>17</v>
      </c>
      <c r="E3" s="73" t="s">
        <v>18</v>
      </c>
      <c r="F3" s="73" t="s">
        <v>19</v>
      </c>
      <c r="G3" s="73" t="s">
        <v>13</v>
      </c>
    </row>
    <row r="4" spans="1:7" ht="32" x14ac:dyDescent="0.2">
      <c r="A4" s="73" t="s">
        <v>20</v>
      </c>
      <c r="B4" s="73" t="s">
        <v>21</v>
      </c>
      <c r="C4" s="73" t="s">
        <v>22</v>
      </c>
      <c r="D4" s="73" t="s">
        <v>23</v>
      </c>
      <c r="E4" s="73" t="s">
        <v>24</v>
      </c>
      <c r="F4" s="73"/>
      <c r="G4" s="73" t="s">
        <v>13</v>
      </c>
    </row>
    <row r="5" spans="1:7" ht="48" x14ac:dyDescent="0.2">
      <c r="A5" s="73" t="s">
        <v>25</v>
      </c>
      <c r="B5" s="73" t="s">
        <v>26</v>
      </c>
      <c r="C5" s="73" t="s">
        <v>27</v>
      </c>
      <c r="D5" s="73" t="s">
        <v>28</v>
      </c>
      <c r="E5" s="73" t="s">
        <v>29</v>
      </c>
      <c r="F5" s="73"/>
      <c r="G5" s="73" t="s">
        <v>13</v>
      </c>
    </row>
    <row r="6" spans="1:7" ht="32" x14ac:dyDescent="0.2">
      <c r="A6" s="73" t="s">
        <v>30</v>
      </c>
      <c r="B6" s="73" t="s">
        <v>31</v>
      </c>
      <c r="C6" s="73" t="s">
        <v>9</v>
      </c>
      <c r="D6" s="73" t="s">
        <v>32</v>
      </c>
      <c r="E6" s="73" t="s">
        <v>33</v>
      </c>
      <c r="F6" s="73" t="s">
        <v>34</v>
      </c>
      <c r="G6" s="73" t="s">
        <v>13</v>
      </c>
    </row>
    <row r="7" spans="1:7" ht="32" x14ac:dyDescent="0.2">
      <c r="A7" s="73" t="s">
        <v>35</v>
      </c>
      <c r="B7" s="73" t="s">
        <v>36</v>
      </c>
      <c r="C7" s="73" t="s">
        <v>37</v>
      </c>
      <c r="D7" s="73" t="s">
        <v>38</v>
      </c>
      <c r="E7" s="73" t="s">
        <v>39</v>
      </c>
      <c r="F7" s="73" t="s">
        <v>40</v>
      </c>
      <c r="G7" s="73" t="s">
        <v>13</v>
      </c>
    </row>
    <row r="8" spans="1:7" ht="32" x14ac:dyDescent="0.2">
      <c r="A8" s="73" t="s">
        <v>41</v>
      </c>
      <c r="B8" s="73" t="s">
        <v>42</v>
      </c>
      <c r="C8" s="73" t="s">
        <v>43</v>
      </c>
      <c r="D8" s="73" t="s">
        <v>44</v>
      </c>
      <c r="E8" s="73" t="s">
        <v>42</v>
      </c>
      <c r="F8" s="73" t="s">
        <v>45</v>
      </c>
      <c r="G8" s="73" t="s">
        <v>13</v>
      </c>
    </row>
    <row r="9" spans="1:7" ht="48" x14ac:dyDescent="0.2">
      <c r="A9" s="73" t="s">
        <v>46</v>
      </c>
      <c r="B9" s="73" t="s">
        <v>47</v>
      </c>
      <c r="C9" s="73" t="s">
        <v>48</v>
      </c>
      <c r="D9" s="73" t="s">
        <v>49</v>
      </c>
      <c r="E9" s="73" t="s">
        <v>50</v>
      </c>
      <c r="F9" s="73" t="s">
        <v>51</v>
      </c>
      <c r="G9" s="73" t="s">
        <v>13</v>
      </c>
    </row>
    <row r="10" spans="1:7" ht="32" x14ac:dyDescent="0.2">
      <c r="A10" s="73" t="s">
        <v>52</v>
      </c>
      <c r="B10" s="73" t="s">
        <v>53</v>
      </c>
      <c r="C10" s="73" t="s">
        <v>54</v>
      </c>
      <c r="D10" s="73" t="s">
        <v>55</v>
      </c>
      <c r="E10" s="73" t="s">
        <v>56</v>
      </c>
      <c r="F10" s="73"/>
      <c r="G10" s="73" t="s">
        <v>13</v>
      </c>
    </row>
    <row r="11" spans="1:7" ht="32" x14ac:dyDescent="0.2">
      <c r="A11" s="73" t="s">
        <v>57</v>
      </c>
      <c r="B11" s="73" t="s">
        <v>58</v>
      </c>
      <c r="C11" s="73" t="s">
        <v>59</v>
      </c>
      <c r="D11" s="73" t="s">
        <v>60</v>
      </c>
      <c r="E11" s="73" t="s">
        <v>61</v>
      </c>
      <c r="F11" s="73"/>
      <c r="G11" s="73" t="s">
        <v>13</v>
      </c>
    </row>
    <row r="12" spans="1:7" ht="32" x14ac:dyDescent="0.2">
      <c r="A12" s="73" t="s">
        <v>62</v>
      </c>
      <c r="B12" s="73" t="s">
        <v>63</v>
      </c>
      <c r="C12" s="73" t="s">
        <v>22</v>
      </c>
      <c r="D12" s="73" t="s">
        <v>64</v>
      </c>
      <c r="E12" s="73" t="s">
        <v>65</v>
      </c>
      <c r="F12" s="73"/>
      <c r="G12" s="73" t="s">
        <v>13</v>
      </c>
    </row>
    <row r="13" spans="1:7" ht="32" x14ac:dyDescent="0.2">
      <c r="A13" s="73" t="s">
        <v>66</v>
      </c>
      <c r="B13" s="73" t="s">
        <v>67</v>
      </c>
      <c r="C13" s="73" t="s">
        <v>43</v>
      </c>
      <c r="D13" s="73" t="s">
        <v>68</v>
      </c>
      <c r="E13" s="73" t="s">
        <v>69</v>
      </c>
      <c r="F13" s="73" t="s">
        <v>70</v>
      </c>
      <c r="G13" s="73" t="s">
        <v>13</v>
      </c>
    </row>
    <row r="14" spans="1:7" ht="32" x14ac:dyDescent="0.2">
      <c r="A14" s="73" t="s">
        <v>71</v>
      </c>
      <c r="B14" s="73" t="s">
        <v>72</v>
      </c>
      <c r="C14" s="73" t="s">
        <v>43</v>
      </c>
      <c r="D14" s="73" t="s">
        <v>73</v>
      </c>
      <c r="E14" s="73" t="s">
        <v>74</v>
      </c>
      <c r="F14" s="73" t="s">
        <v>75</v>
      </c>
      <c r="G14" s="73" t="s">
        <v>13</v>
      </c>
    </row>
    <row r="15" spans="1:7" ht="32" x14ac:dyDescent="0.2">
      <c r="A15" s="73" t="s">
        <v>76</v>
      </c>
      <c r="B15" s="73" t="s">
        <v>77</v>
      </c>
      <c r="C15" s="73" t="s">
        <v>43</v>
      </c>
      <c r="D15" s="73" t="s">
        <v>78</v>
      </c>
      <c r="E15" s="73" t="s">
        <v>79</v>
      </c>
      <c r="F15" s="73" t="s">
        <v>80</v>
      </c>
      <c r="G15" s="73" t="s">
        <v>81</v>
      </c>
    </row>
    <row r="16" spans="1:7" ht="32" x14ac:dyDescent="0.2">
      <c r="A16" s="73" t="s">
        <v>82</v>
      </c>
      <c r="B16" s="73" t="s">
        <v>83</v>
      </c>
      <c r="C16" s="73" t="s">
        <v>43</v>
      </c>
      <c r="D16" s="73" t="s">
        <v>84</v>
      </c>
      <c r="E16" s="73" t="s">
        <v>85</v>
      </c>
      <c r="F16" s="73"/>
      <c r="G16" s="73" t="s">
        <v>13</v>
      </c>
    </row>
    <row r="17" spans="1:7" ht="32" x14ac:dyDescent="0.2">
      <c r="A17" s="73" t="s">
        <v>86</v>
      </c>
      <c r="B17" s="73" t="s">
        <v>87</v>
      </c>
      <c r="C17" s="73" t="s">
        <v>43</v>
      </c>
      <c r="D17" s="73" t="s">
        <v>88</v>
      </c>
      <c r="E17" s="73" t="s">
        <v>89</v>
      </c>
      <c r="F17" s="73"/>
      <c r="G17" s="73" t="s">
        <v>13</v>
      </c>
    </row>
    <row r="18" spans="1:7" ht="32" x14ac:dyDescent="0.2">
      <c r="A18" s="73" t="s">
        <v>90</v>
      </c>
      <c r="B18" s="73" t="s">
        <v>91</v>
      </c>
      <c r="C18" s="73" t="s">
        <v>92</v>
      </c>
      <c r="D18" s="73" t="s">
        <v>93</v>
      </c>
      <c r="E18" s="73" t="s">
        <v>94</v>
      </c>
      <c r="F18" s="73"/>
      <c r="G18" s="73" t="s">
        <v>81</v>
      </c>
    </row>
    <row r="19" spans="1:7" ht="16" x14ac:dyDescent="0.2">
      <c r="A19" s="73" t="s">
        <v>95</v>
      </c>
      <c r="B19" s="73" t="s">
        <v>96</v>
      </c>
      <c r="C19" s="73" t="s">
        <v>27</v>
      </c>
      <c r="D19" s="73" t="s">
        <v>97</v>
      </c>
      <c r="E19" s="73" t="s">
        <v>98</v>
      </c>
      <c r="F19" s="73"/>
      <c r="G19" s="73" t="s">
        <v>81</v>
      </c>
    </row>
    <row r="20" spans="1:7" ht="32" x14ac:dyDescent="0.2">
      <c r="A20" s="73" t="s">
        <v>99</v>
      </c>
      <c r="B20" s="73" t="s">
        <v>58</v>
      </c>
      <c r="C20" s="73" t="s">
        <v>43</v>
      </c>
      <c r="D20" s="73" t="s">
        <v>100</v>
      </c>
      <c r="E20" s="73" t="s">
        <v>101</v>
      </c>
      <c r="F20" s="73"/>
      <c r="G20" s="73" t="s">
        <v>81</v>
      </c>
    </row>
    <row r="21" spans="1:7" ht="32" x14ac:dyDescent="0.2">
      <c r="A21" s="73" t="s">
        <v>102</v>
      </c>
      <c r="B21" s="73" t="s">
        <v>103</v>
      </c>
      <c r="C21" s="73" t="s">
        <v>43</v>
      </c>
      <c r="D21" s="73" t="s">
        <v>104</v>
      </c>
      <c r="E21" s="73" t="s">
        <v>105</v>
      </c>
      <c r="F21" s="73" t="s">
        <v>106</v>
      </c>
      <c r="G21" s="73"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E24"/>
  <sheetViews>
    <sheetView zoomScaleNormal="100" workbookViewId="0">
      <selection sqref="A1:E1"/>
    </sheetView>
  </sheetViews>
  <sheetFormatPr baseColWidth="10" defaultColWidth="8.6640625" defaultRowHeight="15" x14ac:dyDescent="0.2"/>
  <cols>
    <col min="1" max="1" width="50" customWidth="1"/>
    <col min="2" max="4" width="18" customWidth="1"/>
    <col min="5" max="5" width="80" customWidth="1"/>
  </cols>
  <sheetData>
    <row r="1" spans="1:5" x14ac:dyDescent="0.2">
      <c r="A1" s="74" t="s">
        <v>107</v>
      </c>
      <c r="B1" s="75"/>
      <c r="C1" s="75"/>
      <c r="D1" s="75"/>
      <c r="E1" s="75"/>
    </row>
    <row r="2" spans="1:5" x14ac:dyDescent="0.2">
      <c r="A2" s="1" t="s">
        <v>108</v>
      </c>
      <c r="B2" s="2">
        <v>2369</v>
      </c>
      <c r="E2" s="3" t="s">
        <v>109</v>
      </c>
    </row>
    <row r="3" spans="1:5" x14ac:dyDescent="0.2">
      <c r="A3" s="1" t="s">
        <v>110</v>
      </c>
      <c r="B3" s="2">
        <v>87.16</v>
      </c>
      <c r="E3" s="3" t="s">
        <v>111</v>
      </c>
    </row>
    <row r="4" spans="1:5" x14ac:dyDescent="0.2">
      <c r="A4" s="1" t="s">
        <v>112</v>
      </c>
      <c r="B4" s="4">
        <v>0.247</v>
      </c>
      <c r="E4" s="3" t="s">
        <v>113</v>
      </c>
    </row>
    <row r="5" spans="1:5" x14ac:dyDescent="0.2">
      <c r="A5" s="1" t="s">
        <v>114</v>
      </c>
      <c r="B5" s="5">
        <v>13.3</v>
      </c>
      <c r="E5" s="3" t="s">
        <v>115</v>
      </c>
    </row>
    <row r="7" spans="1:5" x14ac:dyDescent="0.2">
      <c r="A7" s="74" t="s">
        <v>116</v>
      </c>
      <c r="B7" s="75"/>
      <c r="C7" s="75"/>
      <c r="D7" s="75"/>
      <c r="E7" s="75"/>
    </row>
    <row r="8" spans="1:5" x14ac:dyDescent="0.2">
      <c r="A8" s="6"/>
      <c r="B8" s="6" t="s">
        <v>117</v>
      </c>
      <c r="C8" s="6" t="s">
        <v>118</v>
      </c>
      <c r="D8" s="6" t="s">
        <v>119</v>
      </c>
    </row>
    <row r="9" spans="1:5" x14ac:dyDescent="0.2">
      <c r="A9" s="1" t="s">
        <v>120</v>
      </c>
      <c r="B9" s="2">
        <v>731</v>
      </c>
      <c r="C9" s="2">
        <v>0</v>
      </c>
      <c r="D9" s="2">
        <v>81</v>
      </c>
      <c r="E9" s="3" t="s">
        <v>121</v>
      </c>
    </row>
    <row r="10" spans="1:5" x14ac:dyDescent="0.2">
      <c r="A10" s="1" t="s">
        <v>122</v>
      </c>
      <c r="B10" s="7">
        <f>$B$2+B9</f>
        <v>3100</v>
      </c>
      <c r="C10" s="7">
        <f>$B$2+C9</f>
        <v>2369</v>
      </c>
      <c r="D10" s="7">
        <f>$B$2+D9</f>
        <v>2450</v>
      </c>
      <c r="E10" s="3" t="s">
        <v>123</v>
      </c>
    </row>
    <row r="11" spans="1:5" x14ac:dyDescent="0.2">
      <c r="A11" s="1" t="s">
        <v>124</v>
      </c>
      <c r="B11" s="2">
        <v>4</v>
      </c>
      <c r="C11" s="2">
        <v>3.9</v>
      </c>
      <c r="D11" s="2">
        <v>2.4</v>
      </c>
      <c r="E11" s="3" t="s">
        <v>125</v>
      </c>
    </row>
    <row r="12" spans="1:5" x14ac:dyDescent="0.2">
      <c r="A12" s="1" t="s">
        <v>126</v>
      </c>
      <c r="B12" s="2">
        <v>116124</v>
      </c>
      <c r="C12" s="2">
        <v>100068</v>
      </c>
      <c r="D12" s="2">
        <v>58740</v>
      </c>
      <c r="E12" s="3" t="s">
        <v>127</v>
      </c>
    </row>
    <row r="13" spans="1:5" x14ac:dyDescent="0.2">
      <c r="A13" s="1" t="s">
        <v>128</v>
      </c>
      <c r="B13" s="8">
        <v>140.9</v>
      </c>
      <c r="C13" s="8">
        <v>140.9</v>
      </c>
      <c r="D13" s="8">
        <v>140.9</v>
      </c>
      <c r="E13" s="3" t="s">
        <v>129</v>
      </c>
    </row>
    <row r="14" spans="1:5" x14ac:dyDescent="0.2">
      <c r="A14" s="1" t="s">
        <v>130</v>
      </c>
      <c r="B14" s="8">
        <v>199</v>
      </c>
      <c r="C14" s="8">
        <v>199</v>
      </c>
      <c r="D14" s="8">
        <v>199</v>
      </c>
      <c r="E14" s="3" t="s">
        <v>131</v>
      </c>
    </row>
    <row r="15" spans="1:5" x14ac:dyDescent="0.2">
      <c r="A15" s="1" t="s">
        <v>132</v>
      </c>
      <c r="B15" s="7">
        <f>B12*(B14/B13)</f>
        <v>164007.63662171754</v>
      </c>
      <c r="C15" s="7">
        <f>C12*(C14/C13)</f>
        <v>141330.95812633072</v>
      </c>
      <c r="D15" s="7">
        <f>D12*(D14/D13)</f>
        <v>82961.391057487577</v>
      </c>
      <c r="E15" s="3" t="s">
        <v>133</v>
      </c>
    </row>
    <row r="16" spans="1:5" x14ac:dyDescent="0.2">
      <c r="A16" s="1" t="s">
        <v>134</v>
      </c>
      <c r="B16" s="9">
        <f>B15/$B$3</f>
        <v>1881.6846790008897</v>
      </c>
      <c r="C16" s="9">
        <f>C15/$B$3</f>
        <v>1621.5116811189848</v>
      </c>
      <c r="D16" s="9">
        <f>D15/$B$3</f>
        <v>951.82871796107827</v>
      </c>
      <c r="E16" s="3" t="s">
        <v>135</v>
      </c>
    </row>
    <row r="18" spans="1:5" x14ac:dyDescent="0.2">
      <c r="A18" s="74" t="s">
        <v>136</v>
      </c>
      <c r="B18" s="75"/>
      <c r="C18" s="75"/>
      <c r="D18" s="75"/>
      <c r="E18" s="75"/>
    </row>
    <row r="19" spans="1:5" x14ac:dyDescent="0.2">
      <c r="A19" s="1" t="s">
        <v>137</v>
      </c>
      <c r="B19" s="2">
        <v>20</v>
      </c>
      <c r="E19" s="3" t="s">
        <v>138</v>
      </c>
    </row>
    <row r="20" spans="1:5" x14ac:dyDescent="0.2">
      <c r="A20" s="1" t="s">
        <v>139</v>
      </c>
      <c r="B20" s="2">
        <v>35</v>
      </c>
      <c r="E20" s="3" t="s">
        <v>140</v>
      </c>
    </row>
    <row r="21" spans="1:5" x14ac:dyDescent="0.2">
      <c r="A21" s="1" t="s">
        <v>141</v>
      </c>
      <c r="B21" s="2">
        <v>2</v>
      </c>
      <c r="E21" s="3" t="s">
        <v>142</v>
      </c>
    </row>
    <row r="22" spans="1:5" x14ac:dyDescent="0.2">
      <c r="A22" s="1" t="s">
        <v>143</v>
      </c>
      <c r="B22" s="2">
        <v>10.220000000000001</v>
      </c>
      <c r="E22" s="3" t="s">
        <v>144</v>
      </c>
    </row>
    <row r="24" spans="1:5" x14ac:dyDescent="0.2">
      <c r="A24" s="1" t="s">
        <v>145</v>
      </c>
      <c r="B24" s="7">
        <f>B19*B20*B21</f>
        <v>1400</v>
      </c>
      <c r="E24" s="3" t="s">
        <v>146</v>
      </c>
    </row>
  </sheetData>
  <mergeCells count="3">
    <mergeCell ref="A1:E1"/>
    <mergeCell ref="A18:E18"/>
    <mergeCell ref="A7:E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C7D6A"/>
  </sheetPr>
  <dimension ref="A1:E48"/>
  <sheetViews>
    <sheetView zoomScaleNormal="100" workbookViewId="0">
      <selection activeCell="B16" sqref="B16"/>
    </sheetView>
  </sheetViews>
  <sheetFormatPr baseColWidth="10" defaultColWidth="8.6640625" defaultRowHeight="15" x14ac:dyDescent="0.2"/>
  <cols>
    <col min="1" max="1" width="44" customWidth="1"/>
    <col min="2" max="4" width="20" customWidth="1"/>
  </cols>
  <sheetData>
    <row r="1" spans="1:5" ht="15.5" customHeight="1" x14ac:dyDescent="0.2">
      <c r="A1" s="76" t="s">
        <v>147</v>
      </c>
      <c r="B1" s="75"/>
      <c r="C1" s="75"/>
      <c r="D1" s="75"/>
    </row>
    <row r="2" spans="1:5" x14ac:dyDescent="0.2">
      <c r="A2" s="10"/>
      <c r="B2" s="10" t="s">
        <v>117</v>
      </c>
      <c r="C2" s="10" t="s">
        <v>118</v>
      </c>
      <c r="D2" s="10" t="s">
        <v>119</v>
      </c>
      <c r="E2" s="10" t="s">
        <v>148</v>
      </c>
    </row>
    <row r="3" spans="1:5" x14ac:dyDescent="0.2">
      <c r="A3" s="11" t="s">
        <v>149</v>
      </c>
      <c r="B3" s="12"/>
      <c r="C3" s="12"/>
      <c r="D3" s="12"/>
    </row>
    <row r="4" spans="1:5" x14ac:dyDescent="0.2">
      <c r="A4" s="1" t="s">
        <v>150</v>
      </c>
      <c r="B4" s="13">
        <f>Assumptions!B10</f>
        <v>3100</v>
      </c>
      <c r="C4" s="13">
        <f>Assumptions!C10</f>
        <v>2369</v>
      </c>
      <c r="D4" s="13">
        <f>Assumptions!D10</f>
        <v>2450</v>
      </c>
    </row>
    <row r="5" spans="1:5" x14ac:dyDescent="0.2">
      <c r="A5" s="1" t="s">
        <v>151</v>
      </c>
      <c r="B5" s="14">
        <f>Assumptions!B11</f>
        <v>4</v>
      </c>
      <c r="C5" s="14">
        <f>Assumptions!C11</f>
        <v>3.9</v>
      </c>
      <c r="D5" s="14">
        <f>Assumptions!D11</f>
        <v>2.4</v>
      </c>
    </row>
    <row r="6" spans="1:5" x14ac:dyDescent="0.2">
      <c r="A6" s="1" t="s">
        <v>114</v>
      </c>
      <c r="B6" s="15">
        <f>Assumptions!B5</f>
        <v>13.3</v>
      </c>
      <c r="C6" s="15">
        <f>Assumptions!B5</f>
        <v>13.3</v>
      </c>
      <c r="D6" s="15">
        <f>Assumptions!B5</f>
        <v>13.3</v>
      </c>
    </row>
    <row r="7" spans="1:5" x14ac:dyDescent="0.2">
      <c r="A7" s="1" t="s">
        <v>112</v>
      </c>
      <c r="B7" s="16">
        <f>Assumptions!B4</f>
        <v>0.247</v>
      </c>
      <c r="C7" s="16">
        <f>Assumptions!B4</f>
        <v>0.247</v>
      </c>
      <c r="D7" s="16">
        <f>Assumptions!B4</f>
        <v>0.247</v>
      </c>
    </row>
    <row r="8" spans="1:5" x14ac:dyDescent="0.2">
      <c r="A8" s="1"/>
    </row>
    <row r="9" spans="1:5" x14ac:dyDescent="0.2">
      <c r="A9" s="11" t="s">
        <v>152</v>
      </c>
      <c r="B9" s="12"/>
      <c r="C9" s="12"/>
      <c r="D9" s="12"/>
    </row>
    <row r="10" spans="1:5" x14ac:dyDescent="0.2">
      <c r="A10" s="1" t="s">
        <v>153</v>
      </c>
      <c r="B10" s="17">
        <f>B6*B7</f>
        <v>3.2851000000000004</v>
      </c>
      <c r="C10" s="17">
        <f>C6*C7</f>
        <v>3.2851000000000004</v>
      </c>
      <c r="D10" s="17">
        <f>D6*D7</f>
        <v>3.2851000000000004</v>
      </c>
    </row>
    <row r="11" spans="1:5" x14ac:dyDescent="0.2">
      <c r="A11" s="1" t="s">
        <v>154</v>
      </c>
      <c r="B11" s="18">
        <f>B10*100</f>
        <v>328.51000000000005</v>
      </c>
      <c r="C11" s="18">
        <f>C10*100</f>
        <v>328.51000000000005</v>
      </c>
      <c r="D11" s="18">
        <f>D10*100</f>
        <v>328.51000000000005</v>
      </c>
    </row>
    <row r="12" spans="1:5" x14ac:dyDescent="0.2">
      <c r="A12" s="1" t="s">
        <v>155</v>
      </c>
      <c r="B12" s="18">
        <f>B10*B4</f>
        <v>10183.810000000001</v>
      </c>
      <c r="C12" s="18">
        <f>C10*C4</f>
        <v>7782.4019000000008</v>
      </c>
      <c r="D12" s="18">
        <f>D10*D4</f>
        <v>8048.4950000000008</v>
      </c>
    </row>
    <row r="13" spans="1:5" x14ac:dyDescent="0.2">
      <c r="A13" s="1" t="s">
        <v>156</v>
      </c>
      <c r="B13" s="19">
        <f>B12/Assumptions!$B$3</f>
        <v>116.8404084442405</v>
      </c>
      <c r="C13" s="19">
        <f>C12/Assumptions!$B$3</f>
        <v>89.288686324001844</v>
      </c>
      <c r="D13" s="19">
        <f>D12/Assumptions!$B$3</f>
        <v>92.341613125286841</v>
      </c>
    </row>
    <row r="14" spans="1:5" x14ac:dyDescent="0.2">
      <c r="A14" s="1"/>
    </row>
    <row r="15" spans="1:5" x14ac:dyDescent="0.2">
      <c r="A15" s="11" t="s">
        <v>157</v>
      </c>
      <c r="B15" s="12"/>
      <c r="C15" s="12"/>
      <c r="D15" s="12"/>
    </row>
    <row r="16" spans="1:5" x14ac:dyDescent="0.2">
      <c r="A16" s="1" t="s">
        <v>158</v>
      </c>
      <c r="B16" s="20">
        <f>B11/1000</f>
        <v>0.32851000000000002</v>
      </c>
      <c r="C16" s="20">
        <f>C11/1000</f>
        <v>0.32851000000000002</v>
      </c>
      <c r="D16" s="20">
        <f>D11/1000</f>
        <v>0.32851000000000002</v>
      </c>
    </row>
    <row r="17" spans="1:4" x14ac:dyDescent="0.2">
      <c r="A17" s="1" t="s">
        <v>159</v>
      </c>
      <c r="B17" s="18">
        <f>B16*Assumptions!B24</f>
        <v>459.91400000000004</v>
      </c>
      <c r="C17" s="18">
        <f>C16*Assumptions!B24</f>
        <v>459.91400000000004</v>
      </c>
      <c r="D17" s="18">
        <f>D16*Assumptions!B24</f>
        <v>459.91400000000004</v>
      </c>
    </row>
    <row r="18" spans="1:4" x14ac:dyDescent="0.2">
      <c r="A18" s="1" t="s">
        <v>160</v>
      </c>
      <c r="B18" s="21">
        <f>B11/50</f>
        <v>6.5702000000000007</v>
      </c>
      <c r="C18" s="21">
        <f>C11/50</f>
        <v>6.5702000000000007</v>
      </c>
      <c r="D18" s="21">
        <f>D11/50</f>
        <v>6.5702000000000007</v>
      </c>
    </row>
    <row r="19" spans="1:4" x14ac:dyDescent="0.2">
      <c r="A19" s="1" t="s">
        <v>161</v>
      </c>
      <c r="B19" s="18">
        <f>B18*Assumptions!B22</f>
        <v>67.147444000000007</v>
      </c>
      <c r="C19" s="18">
        <f>C18*Assumptions!B22</f>
        <v>67.147444000000007</v>
      </c>
      <c r="D19" s="18">
        <f>D18*Assumptions!B22</f>
        <v>67.147444000000007</v>
      </c>
    </row>
    <row r="20" spans="1:4" x14ac:dyDescent="0.2">
      <c r="A20" s="1" t="s">
        <v>162</v>
      </c>
      <c r="B20" s="18">
        <f>B17+B19</f>
        <v>527.06144400000005</v>
      </c>
      <c r="C20" s="18">
        <f>C17+C19</f>
        <v>527.06144400000005</v>
      </c>
      <c r="D20" s="18">
        <f>D17+D19</f>
        <v>527.06144400000005</v>
      </c>
    </row>
    <row r="21" spans="1:4" x14ac:dyDescent="0.2">
      <c r="A21" s="1" t="s">
        <v>163</v>
      </c>
      <c r="B21" s="22">
        <f>B20/Assumptions!$B$3</f>
        <v>6.0470564938044982</v>
      </c>
      <c r="C21" s="22">
        <f>C20/Assumptions!$B$3</f>
        <v>6.0470564938044982</v>
      </c>
      <c r="D21" s="22">
        <f>D20/Assumptions!$B$3</f>
        <v>6.0470564938044982</v>
      </c>
    </row>
    <row r="22" spans="1:4" x14ac:dyDescent="0.2">
      <c r="A22" s="1"/>
    </row>
    <row r="23" spans="1:4" x14ac:dyDescent="0.2">
      <c r="A23" s="11" t="s">
        <v>164</v>
      </c>
      <c r="B23" s="12"/>
      <c r="C23" s="12"/>
      <c r="D23" s="12"/>
    </row>
    <row r="24" spans="1:4" x14ac:dyDescent="0.2">
      <c r="A24" s="23" t="s">
        <v>165</v>
      </c>
      <c r="B24" s="24">
        <f>B12-B20</f>
        <v>9656.7485560000005</v>
      </c>
      <c r="C24" s="24">
        <f>C12-C20</f>
        <v>7255.3404560000008</v>
      </c>
      <c r="D24" s="24">
        <f>D12-D20</f>
        <v>7521.4335560000009</v>
      </c>
    </row>
    <row r="25" spans="1:4" x14ac:dyDescent="0.2">
      <c r="A25" s="23" t="s">
        <v>166</v>
      </c>
      <c r="B25" s="25">
        <f>B24/Assumptions!$B$3</f>
        <v>110.79335195043599</v>
      </c>
      <c r="C25" s="25">
        <f>C24/Assumptions!$B$3</f>
        <v>83.241629830197354</v>
      </c>
      <c r="D25" s="25">
        <f>D24/Assumptions!$B$3</f>
        <v>86.294556631482351</v>
      </c>
    </row>
    <row r="26" spans="1:4" x14ac:dyDescent="0.2">
      <c r="A26" s="1"/>
    </row>
    <row r="27" spans="1:4" x14ac:dyDescent="0.2">
      <c r="A27" s="11" t="s">
        <v>167</v>
      </c>
      <c r="B27" s="12"/>
      <c r="C27" s="12"/>
      <c r="D27" s="12"/>
    </row>
    <row r="28" spans="1:4" x14ac:dyDescent="0.2">
      <c r="A28" s="23" t="s">
        <v>168</v>
      </c>
      <c r="B28" s="24">
        <f>B24*B5</f>
        <v>38626.994224000002</v>
      </c>
      <c r="C28" s="24">
        <f>C24*C5</f>
        <v>28295.827778400002</v>
      </c>
      <c r="D28" s="24">
        <f>D24*D5</f>
        <v>18051.440534400001</v>
      </c>
    </row>
    <row r="29" spans="1:4" x14ac:dyDescent="0.2">
      <c r="A29" s="23" t="s">
        <v>169</v>
      </c>
      <c r="B29" s="25">
        <f>B28/Assumptions!$B$3</f>
        <v>443.17340780174396</v>
      </c>
      <c r="C29" s="25">
        <f>C28/Assumptions!$B$3</f>
        <v>324.64235633776963</v>
      </c>
      <c r="D29" s="25">
        <f>D28/Assumptions!$B$3</f>
        <v>207.10693591555761</v>
      </c>
    </row>
    <row r="30" spans="1:4" x14ac:dyDescent="0.2">
      <c r="A30" s="1"/>
    </row>
    <row r="31" spans="1:4" x14ac:dyDescent="0.2">
      <c r="A31" s="11" t="s">
        <v>170</v>
      </c>
      <c r="B31" s="12"/>
      <c r="C31" s="12"/>
      <c r="D31" s="12"/>
    </row>
    <row r="32" spans="1:4" x14ac:dyDescent="0.2">
      <c r="A32" s="1" t="s">
        <v>171</v>
      </c>
      <c r="B32" s="26">
        <f>Assumptions!B16</f>
        <v>1881.6846790008897</v>
      </c>
      <c r="C32" s="26">
        <f>Assumptions!C16</f>
        <v>1621.5116811189848</v>
      </c>
      <c r="D32" s="26">
        <f>Assumptions!D16</f>
        <v>951.82871796107827</v>
      </c>
    </row>
    <row r="33" spans="1:4" x14ac:dyDescent="0.2">
      <c r="A33" s="23" t="s">
        <v>172</v>
      </c>
      <c r="B33" s="27">
        <f>B29/B32</f>
        <v>0.23551948567549261</v>
      </c>
      <c r="C33" s="27">
        <f>C29/C32</f>
        <v>0.20020969328678412</v>
      </c>
      <c r="D33" s="27">
        <f>D29/D32</f>
        <v>0.21758845053467543</v>
      </c>
    </row>
    <row r="34" spans="1:4" x14ac:dyDescent="0.2">
      <c r="A34" s="1" t="s">
        <v>173</v>
      </c>
      <c r="B34" s="28">
        <f>B21/B13</f>
        <v>5.1754838709677418E-2</v>
      </c>
      <c r="C34" s="28">
        <f>C21/C13</f>
        <v>6.7724778387505277E-2</v>
      </c>
      <c r="D34" s="28">
        <f>D21/D13</f>
        <v>6.5485714285714286E-2</v>
      </c>
    </row>
    <row r="36" spans="1:4" x14ac:dyDescent="0.2">
      <c r="A36" s="77" t="s">
        <v>174</v>
      </c>
      <c r="B36" s="75"/>
      <c r="C36" s="75"/>
      <c r="D36" s="75"/>
    </row>
    <row r="37" spans="1:4" x14ac:dyDescent="0.2">
      <c r="A37" s="3" t="s">
        <v>175</v>
      </c>
    </row>
    <row r="38" spans="1:4" x14ac:dyDescent="0.2">
      <c r="A38" s="3" t="s">
        <v>176</v>
      </c>
    </row>
    <row r="39" spans="1:4" x14ac:dyDescent="0.2">
      <c r="A39" s="3" t="s">
        <v>177</v>
      </c>
    </row>
    <row r="40" spans="1:4" x14ac:dyDescent="0.2">
      <c r="A40" s="3" t="s">
        <v>178</v>
      </c>
    </row>
    <row r="41" spans="1:4" x14ac:dyDescent="0.2">
      <c r="A41" s="3" t="s">
        <v>179</v>
      </c>
    </row>
    <row r="42" spans="1:4" x14ac:dyDescent="0.2">
      <c r="A42" s="3" t="s">
        <v>180</v>
      </c>
    </row>
    <row r="43" spans="1:4" x14ac:dyDescent="0.2">
      <c r="A43" s="3" t="s">
        <v>181</v>
      </c>
    </row>
    <row r="44" spans="1:4" x14ac:dyDescent="0.2">
      <c r="A44" s="3" t="s">
        <v>182</v>
      </c>
    </row>
    <row r="45" spans="1:4" x14ac:dyDescent="0.2">
      <c r="A45" s="3" t="s">
        <v>183</v>
      </c>
    </row>
    <row r="46" spans="1:4" x14ac:dyDescent="0.2">
      <c r="A46" s="3" t="s">
        <v>184</v>
      </c>
    </row>
    <row r="47" spans="1:4" x14ac:dyDescent="0.2">
      <c r="A47" s="3" t="s">
        <v>185</v>
      </c>
    </row>
    <row r="48" spans="1:4" x14ac:dyDescent="0.2">
      <c r="A48" s="3" t="s">
        <v>186</v>
      </c>
    </row>
  </sheetData>
  <mergeCells count="2">
    <mergeCell ref="A1:D1"/>
    <mergeCell ref="A36:D3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zoomScaleNormal="100" workbookViewId="0">
      <selection sqref="A1:H7"/>
    </sheetView>
  </sheetViews>
  <sheetFormatPr baseColWidth="10" defaultColWidth="8.6640625" defaultRowHeight="15" x14ac:dyDescent="0.2"/>
  <cols>
    <col min="1" max="1" width="14" customWidth="1"/>
    <col min="2" max="2" width="8" customWidth="1"/>
    <col min="3" max="6" width="10" customWidth="1"/>
    <col min="7" max="7" width="14" customWidth="1"/>
    <col min="8" max="8" width="12" customWidth="1"/>
  </cols>
  <sheetData>
    <row r="1" spans="1:8" x14ac:dyDescent="0.2">
      <c r="A1" s="63" t="s">
        <v>187</v>
      </c>
      <c r="B1" s="63" t="s">
        <v>188</v>
      </c>
      <c r="C1" s="63" t="s">
        <v>189</v>
      </c>
      <c r="D1" s="63" t="s">
        <v>190</v>
      </c>
      <c r="E1" s="63" t="s">
        <v>191</v>
      </c>
      <c r="F1" s="63" t="s">
        <v>192</v>
      </c>
      <c r="G1" s="63" t="s">
        <v>193</v>
      </c>
      <c r="H1" s="63" t="s">
        <v>194</v>
      </c>
    </row>
    <row r="2" spans="1:8" x14ac:dyDescent="0.2">
      <c r="A2" s="64" t="s">
        <v>195</v>
      </c>
      <c r="B2" s="65">
        <v>85</v>
      </c>
      <c r="C2" s="66">
        <v>24.6</v>
      </c>
      <c r="D2" s="66">
        <v>23.5</v>
      </c>
      <c r="E2" s="66">
        <v>10.6</v>
      </c>
      <c r="F2" s="67">
        <v>3068</v>
      </c>
      <c r="G2" s="66">
        <v>16.399999999999999</v>
      </c>
      <c r="H2" s="67">
        <v>50427</v>
      </c>
    </row>
    <row r="3" spans="1:8" x14ac:dyDescent="0.2">
      <c r="A3" s="64" t="s">
        <v>196</v>
      </c>
      <c r="B3" s="65">
        <v>83</v>
      </c>
      <c r="C3" s="66">
        <v>38.4</v>
      </c>
      <c r="D3" s="66">
        <v>34.6</v>
      </c>
      <c r="E3" s="66">
        <v>38.200000000000003</v>
      </c>
      <c r="F3" s="67">
        <v>2204</v>
      </c>
      <c r="G3" s="66">
        <v>25.7</v>
      </c>
      <c r="H3" s="67">
        <v>56634</v>
      </c>
    </row>
    <row r="4" spans="1:8" x14ac:dyDescent="0.2">
      <c r="A4" s="64" t="s">
        <v>197</v>
      </c>
      <c r="B4" s="65">
        <v>32</v>
      </c>
      <c r="C4" s="66">
        <v>13.3</v>
      </c>
      <c r="D4" s="66">
        <v>12.2</v>
      </c>
      <c r="E4" s="66">
        <v>6.6</v>
      </c>
      <c r="F4" s="67">
        <v>1131</v>
      </c>
      <c r="G4" s="66">
        <v>25.3</v>
      </c>
      <c r="H4" s="67">
        <v>28566</v>
      </c>
    </row>
    <row r="5" spans="1:8" x14ac:dyDescent="0.2">
      <c r="A5" s="64" t="s">
        <v>198</v>
      </c>
      <c r="B5" s="65">
        <v>10</v>
      </c>
      <c r="C5" s="66">
        <v>33.200000000000003</v>
      </c>
      <c r="D5" s="66">
        <v>25</v>
      </c>
      <c r="E5" s="66">
        <v>24.1</v>
      </c>
      <c r="F5" s="67">
        <v>317</v>
      </c>
      <c r="G5" s="66">
        <v>18.100000000000001</v>
      </c>
      <c r="H5" s="67">
        <v>5755</v>
      </c>
    </row>
    <row r="6" spans="1:8" x14ac:dyDescent="0.2">
      <c r="A6" s="64" t="s">
        <v>199</v>
      </c>
      <c r="B6" s="65">
        <v>6</v>
      </c>
      <c r="C6" s="66">
        <v>54.7</v>
      </c>
      <c r="D6" s="66">
        <v>56.4</v>
      </c>
      <c r="E6" s="66">
        <v>18.3</v>
      </c>
      <c r="F6" s="67">
        <v>217</v>
      </c>
      <c r="G6" s="66">
        <v>17.399999999999999</v>
      </c>
      <c r="H6" s="67">
        <v>3775</v>
      </c>
    </row>
    <row r="7" spans="1:8" x14ac:dyDescent="0.2">
      <c r="A7" s="63" t="s">
        <v>200</v>
      </c>
      <c r="B7" s="68">
        <f>SUM(B2:B6)</f>
        <v>216</v>
      </c>
      <c r="C7" s="69">
        <v>29.5</v>
      </c>
      <c r="D7" s="69">
        <v>24.7</v>
      </c>
      <c r="E7" s="69">
        <v>27.1</v>
      </c>
      <c r="F7" s="70">
        <f>SUM(F2:F6)</f>
        <v>6937</v>
      </c>
      <c r="G7" s="69"/>
      <c r="H7" s="70">
        <f>SUM(H2:H6)</f>
        <v>145157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3010"/>
  <sheetViews>
    <sheetView topLeftCell="G1" workbookViewId="0">
      <selection activeCell="Q2" sqref="Q2:Q217"/>
    </sheetView>
  </sheetViews>
  <sheetFormatPr baseColWidth="10" defaultColWidth="8.83203125" defaultRowHeight="16.5" customHeight="1" x14ac:dyDescent="0.2"/>
  <cols>
    <col min="1" max="1" width="18.1640625" style="31" customWidth="1"/>
    <col min="2" max="2" width="8.83203125" style="29" customWidth="1"/>
    <col min="3" max="3" width="21.83203125" style="29" hidden="1" customWidth="1"/>
    <col min="4" max="4" width="7.1640625" style="29" customWidth="1"/>
    <col min="5" max="5" width="21.6640625" style="29" customWidth="1"/>
    <col min="6" max="6" width="18.6640625" style="29" customWidth="1"/>
    <col min="7" max="7" width="16.1640625" style="29" customWidth="1"/>
    <col min="8" max="8" width="20.5" style="29" customWidth="1"/>
    <col min="9" max="12" width="15.6640625" style="29" customWidth="1"/>
    <col min="13" max="19" width="15.6640625" style="30" customWidth="1"/>
    <col min="20" max="20" width="53" style="29" customWidth="1"/>
    <col min="21" max="21" width="24.5" style="29" customWidth="1"/>
    <col min="22" max="22" width="27.5" style="29" customWidth="1"/>
    <col min="23" max="23" width="21" style="29" customWidth="1"/>
    <col min="24" max="24" width="17" style="29" customWidth="1"/>
    <col min="25" max="25" width="8.83203125" style="29" customWidth="1"/>
    <col min="26" max="16384" width="8.83203125" style="29"/>
  </cols>
  <sheetData>
    <row r="1" spans="1:24" ht="53.5" customHeight="1" thickBot="1" x14ac:dyDescent="0.25">
      <c r="A1" s="53" t="s">
        <v>201</v>
      </c>
      <c r="B1" s="49" t="s">
        <v>202</v>
      </c>
      <c r="C1" s="49" t="s">
        <v>203</v>
      </c>
      <c r="D1" s="49" t="s">
        <v>204</v>
      </c>
      <c r="E1" s="49" t="s">
        <v>205</v>
      </c>
      <c r="F1" s="49" t="s">
        <v>206</v>
      </c>
      <c r="G1" s="49" t="s">
        <v>207</v>
      </c>
      <c r="H1" s="49" t="s">
        <v>208</v>
      </c>
      <c r="I1" s="49" t="s">
        <v>209</v>
      </c>
      <c r="J1" s="52" t="s">
        <v>210</v>
      </c>
      <c r="K1" s="52" t="s">
        <v>211</v>
      </c>
      <c r="L1" s="52" t="s">
        <v>212</v>
      </c>
      <c r="M1" s="51" t="s">
        <v>213</v>
      </c>
      <c r="N1" s="50" t="s">
        <v>214</v>
      </c>
      <c r="O1" s="50" t="s">
        <v>215</v>
      </c>
      <c r="P1" s="50" t="s">
        <v>216</v>
      </c>
      <c r="Q1" s="50" t="s">
        <v>217</v>
      </c>
      <c r="R1" s="50" t="s">
        <v>218</v>
      </c>
      <c r="S1" s="50" t="s">
        <v>219</v>
      </c>
      <c r="T1" s="49" t="s">
        <v>220</v>
      </c>
      <c r="U1" s="48" t="s">
        <v>221</v>
      </c>
      <c r="V1" s="48" t="s">
        <v>222</v>
      </c>
      <c r="W1" s="48" t="s">
        <v>223</v>
      </c>
      <c r="X1" s="29" t="s">
        <v>224</v>
      </c>
    </row>
    <row r="2" spans="1:24" ht="39.5" customHeight="1" thickBot="1" x14ac:dyDescent="0.25">
      <c r="A2" s="36">
        <v>1726729433611</v>
      </c>
      <c r="B2" s="36">
        <v>55</v>
      </c>
      <c r="C2" s="36">
        <v>15.21</v>
      </c>
      <c r="D2" s="36">
        <v>1</v>
      </c>
      <c r="E2" s="36">
        <v>12.66</v>
      </c>
      <c r="F2" s="36">
        <v>2.5499999999999998</v>
      </c>
      <c r="G2" s="36">
        <v>1.1200000000000001</v>
      </c>
      <c r="H2" s="36">
        <v>0.93</v>
      </c>
      <c r="I2" s="36">
        <v>0.19</v>
      </c>
      <c r="J2" s="37">
        <f>G2/3</f>
        <v>0.37333333333333335</v>
      </c>
      <c r="K2" s="37">
        <f>H2/3</f>
        <v>0.31</v>
      </c>
      <c r="L2" s="37">
        <f t="shared" ref="L2:L65" si="0">J2-K2</f>
        <v>6.3333333333333353E-2</v>
      </c>
      <c r="M2" s="34">
        <f t="shared" ref="M2:M65" si="1">L2/K2</f>
        <v>0.20430107526881727</v>
      </c>
      <c r="N2" s="35">
        <f t="shared" ref="N2:N65" si="2">J2*40.46856</f>
        <v>15.108262399999999</v>
      </c>
      <c r="O2" s="35">
        <f t="shared" ref="O2:O65" si="3">K2*40.46856</f>
        <v>12.545253599999999</v>
      </c>
      <c r="P2" s="33">
        <f t="shared" ref="P2:P65" si="4">N2-O2</f>
        <v>2.5630088000000004</v>
      </c>
      <c r="Q2" s="34">
        <f t="shared" ref="Q2:Q65" si="5">P2/O2</f>
        <v>0.20430107526881724</v>
      </c>
      <c r="R2" s="33">
        <f>VLOOKUP(A2,'[1]Kharif tonnage acres2025'!A2:C1792,2,FALSE)</f>
        <v>2.77</v>
      </c>
      <c r="S2" s="33">
        <f>VLOOKUP(A2,'[1]Kharif tonnage acres2025'!A1:C1792,3,FALSE)</f>
        <v>30</v>
      </c>
      <c r="T2" s="32" t="s">
        <v>225</v>
      </c>
      <c r="U2" s="41" t="s">
        <v>226</v>
      </c>
      <c r="V2" s="40" t="s">
        <v>227</v>
      </c>
      <c r="W2" s="47">
        <f>GETPIVOTDATA("farmer_id",$X$1)</f>
        <v>216</v>
      </c>
      <c r="X2" s="29">
        <v>216</v>
      </c>
    </row>
    <row r="3" spans="1:24" ht="16.5" customHeight="1" thickBot="1" x14ac:dyDescent="0.25">
      <c r="A3" s="36">
        <v>1738229409347</v>
      </c>
      <c r="B3" s="36">
        <v>939</v>
      </c>
      <c r="C3" s="36">
        <v>20.5</v>
      </c>
      <c r="D3" s="36">
        <v>4</v>
      </c>
      <c r="E3" s="36">
        <v>18.5</v>
      </c>
      <c r="F3" s="36">
        <v>2</v>
      </c>
      <c r="G3" s="36">
        <v>0.51</v>
      </c>
      <c r="H3" s="36">
        <v>0.46</v>
      </c>
      <c r="I3" s="36">
        <v>0.05</v>
      </c>
      <c r="J3" s="36">
        <f>G3</f>
        <v>0.51</v>
      </c>
      <c r="K3" s="36">
        <f>H3</f>
        <v>0.46</v>
      </c>
      <c r="L3" s="36">
        <f t="shared" si="0"/>
        <v>4.9999999999999989E-2</v>
      </c>
      <c r="M3" s="34">
        <f t="shared" si="1"/>
        <v>0.10869565217391301</v>
      </c>
      <c r="N3" s="35">
        <f t="shared" si="2"/>
        <v>20.638965599999999</v>
      </c>
      <c r="O3" s="35">
        <f t="shared" si="3"/>
        <v>18.6155376</v>
      </c>
      <c r="P3" s="33">
        <f t="shared" si="4"/>
        <v>2.0234279999999991</v>
      </c>
      <c r="Q3" s="34">
        <f t="shared" si="5"/>
        <v>0.108695652173913</v>
      </c>
      <c r="R3" s="33">
        <f>VLOOKUP(A3,'[1]Kharif tonnage acres2025'!A3:C1793,2,FALSE)</f>
        <v>0</v>
      </c>
      <c r="S3" s="33">
        <f>VLOOKUP(A3,'[1]Kharif tonnage acres2025'!A2:C1793,3,FALSE)</f>
        <v>6.55</v>
      </c>
      <c r="T3" s="32" t="s">
        <v>228</v>
      </c>
      <c r="U3" s="41" t="s">
        <v>229</v>
      </c>
      <c r="V3" s="40" t="s">
        <v>230</v>
      </c>
      <c r="W3" s="46">
        <f>AVERAGE(N:N)</f>
        <v>16.762602144444454</v>
      </c>
    </row>
    <row r="4" spans="1:24" ht="16.5" customHeight="1" thickBot="1" x14ac:dyDescent="0.25">
      <c r="A4" s="36">
        <v>1738231639812</v>
      </c>
      <c r="B4" s="36">
        <v>939</v>
      </c>
      <c r="C4" s="36">
        <v>16</v>
      </c>
      <c r="D4" s="36">
        <v>4</v>
      </c>
      <c r="E4" s="36">
        <v>14.5</v>
      </c>
      <c r="F4" s="36">
        <v>1.5</v>
      </c>
      <c r="G4" s="36">
        <v>0.4</v>
      </c>
      <c r="H4" s="36">
        <v>0.36</v>
      </c>
      <c r="I4" s="36">
        <v>0.04</v>
      </c>
      <c r="J4" s="36">
        <f>G4</f>
        <v>0.4</v>
      </c>
      <c r="K4" s="36">
        <f>H4</f>
        <v>0.36</v>
      </c>
      <c r="L4" s="36">
        <f t="shared" si="0"/>
        <v>4.0000000000000036E-2</v>
      </c>
      <c r="M4" s="34">
        <f t="shared" si="1"/>
        <v>0.11111111111111122</v>
      </c>
      <c r="N4" s="35">
        <f t="shared" si="2"/>
        <v>16.187424</v>
      </c>
      <c r="O4" s="35">
        <f t="shared" si="3"/>
        <v>14.568681599999998</v>
      </c>
      <c r="P4" s="33">
        <f t="shared" si="4"/>
        <v>1.6187424000000021</v>
      </c>
      <c r="Q4" s="34">
        <f t="shared" si="5"/>
        <v>0.11111111111111127</v>
      </c>
      <c r="R4" s="33">
        <f>VLOOKUP(A4,'[1]Kharif tonnage acres2025'!A4:C1794,2,FALSE)</f>
        <v>0</v>
      </c>
      <c r="S4" s="33">
        <f>VLOOKUP(A4,'[1]Kharif tonnage acres2025'!A3:C1794,3,FALSE)</f>
        <v>6.77</v>
      </c>
      <c r="T4" s="32" t="s">
        <v>231</v>
      </c>
      <c r="U4" s="41" t="s">
        <v>232</v>
      </c>
      <c r="V4" s="40" t="s">
        <v>233</v>
      </c>
      <c r="W4" s="46">
        <f>AVERAGE(O:O)</f>
        <v>13.273437874074046</v>
      </c>
    </row>
    <row r="5" spans="1:24" ht="16.5" customHeight="1" thickBot="1" x14ac:dyDescent="0.25">
      <c r="A5" s="36">
        <v>1747200300435</v>
      </c>
      <c r="B5" s="36">
        <v>7</v>
      </c>
      <c r="C5" s="36">
        <v>13.75</v>
      </c>
      <c r="D5" s="36">
        <v>1</v>
      </c>
      <c r="E5" s="36">
        <v>9.3000000000000007</v>
      </c>
      <c r="F5" s="36">
        <v>4.45</v>
      </c>
      <c r="G5" s="36">
        <v>1.02</v>
      </c>
      <c r="H5" s="36">
        <v>0.69</v>
      </c>
      <c r="I5" s="36">
        <v>0.33</v>
      </c>
      <c r="J5" s="37">
        <f>G5/3</f>
        <v>0.34</v>
      </c>
      <c r="K5" s="37">
        <f>H5/3</f>
        <v>0.22999999999999998</v>
      </c>
      <c r="L5" s="37">
        <f t="shared" si="0"/>
        <v>0.11000000000000004</v>
      </c>
      <c r="M5" s="34">
        <f t="shared" si="1"/>
        <v>0.47826086956521763</v>
      </c>
      <c r="N5" s="35">
        <f t="shared" si="2"/>
        <v>13.7593104</v>
      </c>
      <c r="O5" s="35">
        <f t="shared" si="3"/>
        <v>9.3077687999999981</v>
      </c>
      <c r="P5" s="33">
        <f t="shared" si="4"/>
        <v>4.4515416000000023</v>
      </c>
      <c r="Q5" s="34">
        <f t="shared" si="5"/>
        <v>0.47826086956521774</v>
      </c>
      <c r="R5" s="33">
        <f>VLOOKUP(A5,'[1]Kharif tonnage acres2025'!A5:C1795,2,FALSE)</f>
        <v>41.45</v>
      </c>
      <c r="S5" s="33">
        <f>VLOOKUP(A5,'[1]Kharif tonnage acres2025'!A4:C1795,3,FALSE)</f>
        <v>435</v>
      </c>
      <c r="T5" s="32" t="s">
        <v>234</v>
      </c>
      <c r="U5" s="41" t="s">
        <v>235</v>
      </c>
      <c r="V5" s="40" t="s">
        <v>236</v>
      </c>
      <c r="W5" s="45">
        <f>AVERAGE(P:P)</f>
        <v>3.4891642703703698</v>
      </c>
    </row>
    <row r="6" spans="1:24" ht="16.5" customHeight="1" thickBot="1" x14ac:dyDescent="0.25">
      <c r="A6" s="36">
        <v>1744694039008</v>
      </c>
      <c r="B6" s="36">
        <v>939</v>
      </c>
      <c r="C6" s="36">
        <v>17</v>
      </c>
      <c r="D6" s="36">
        <v>4</v>
      </c>
      <c r="E6" s="36">
        <v>16</v>
      </c>
      <c r="F6" s="36">
        <v>1</v>
      </c>
      <c r="G6" s="36">
        <v>0.42</v>
      </c>
      <c r="H6" s="36">
        <v>0.39</v>
      </c>
      <c r="I6" s="36">
        <v>0.03</v>
      </c>
      <c r="J6" s="36">
        <f>G6</f>
        <v>0.42</v>
      </c>
      <c r="K6" s="36">
        <f>H6</f>
        <v>0.39</v>
      </c>
      <c r="L6" s="36">
        <f t="shared" si="0"/>
        <v>2.9999999999999971E-2</v>
      </c>
      <c r="M6" s="34">
        <f t="shared" si="1"/>
        <v>7.6923076923076844E-2</v>
      </c>
      <c r="N6" s="35">
        <f t="shared" si="2"/>
        <v>16.996795199999998</v>
      </c>
      <c r="O6" s="35">
        <f t="shared" si="3"/>
        <v>15.7827384</v>
      </c>
      <c r="P6" s="33">
        <f t="shared" si="4"/>
        <v>1.214056799999998</v>
      </c>
      <c r="Q6" s="34">
        <f t="shared" si="5"/>
        <v>7.6923076923076802E-2</v>
      </c>
      <c r="R6" s="33">
        <f>VLOOKUP(A6,'[1]Kharif tonnage acres2025'!A6:C1796,2,FALSE)</f>
        <v>0</v>
      </c>
      <c r="S6" s="33">
        <f>VLOOKUP(A6,'[1]Kharif tonnage acres2025'!A5:C1796,3,FALSE)</f>
        <v>7.62</v>
      </c>
      <c r="T6" s="32" t="s">
        <v>237</v>
      </c>
      <c r="U6" s="41" t="s">
        <v>238</v>
      </c>
      <c r="V6" s="40" t="s">
        <v>239</v>
      </c>
      <c r="W6" s="44">
        <f>AVERAGE(Q:Q)</f>
        <v>0.29468797375400207</v>
      </c>
    </row>
    <row r="7" spans="1:24" ht="16.5" customHeight="1" thickBot="1" x14ac:dyDescent="0.25">
      <c r="A7" s="36">
        <v>1730526661966</v>
      </c>
      <c r="B7" s="36">
        <v>7</v>
      </c>
      <c r="C7" s="36">
        <v>13.59</v>
      </c>
      <c r="D7" s="36">
        <v>1</v>
      </c>
      <c r="E7" s="36">
        <v>10.43</v>
      </c>
      <c r="F7" s="36">
        <v>3.16</v>
      </c>
      <c r="G7" s="36">
        <v>1</v>
      </c>
      <c r="H7" s="36">
        <v>0.77</v>
      </c>
      <c r="I7" s="36">
        <v>0.23</v>
      </c>
      <c r="J7" s="37">
        <f>G7/3</f>
        <v>0.33333333333333331</v>
      </c>
      <c r="K7" s="37">
        <f>H7/3</f>
        <v>0.25666666666666665</v>
      </c>
      <c r="L7" s="37">
        <f t="shared" si="0"/>
        <v>7.6666666666666661E-2</v>
      </c>
      <c r="M7" s="34">
        <f t="shared" si="1"/>
        <v>0.29870129870129869</v>
      </c>
      <c r="N7" s="35">
        <f t="shared" si="2"/>
        <v>13.489519999999999</v>
      </c>
      <c r="O7" s="35">
        <f t="shared" si="3"/>
        <v>10.386930399999999</v>
      </c>
      <c r="P7" s="33">
        <f t="shared" si="4"/>
        <v>3.1025895999999999</v>
      </c>
      <c r="Q7" s="34">
        <f t="shared" si="5"/>
        <v>0.29870129870129875</v>
      </c>
      <c r="R7" s="33">
        <f>VLOOKUP(A7,'[1]Kharif tonnage acres2025'!A7:C1797,2,FALSE)</f>
        <v>14.32</v>
      </c>
      <c r="S7" s="33">
        <f>VLOOKUP(A7,'[1]Kharif tonnage acres2025'!A6:C1797,3,FALSE)</f>
        <v>145</v>
      </c>
      <c r="T7" s="32" t="s">
        <v>240</v>
      </c>
      <c r="U7" s="41" t="s">
        <v>241</v>
      </c>
      <c r="V7" s="40" t="s">
        <v>242</v>
      </c>
      <c r="W7" s="43">
        <f>MEDIAN(Q:Q)</f>
        <v>0.24705882352941183</v>
      </c>
    </row>
    <row r="8" spans="1:24" ht="16.5" customHeight="1" thickBot="1" x14ac:dyDescent="0.25">
      <c r="A8" s="36">
        <v>1738306257831</v>
      </c>
      <c r="B8" s="36">
        <v>939</v>
      </c>
      <c r="C8" s="36">
        <v>18</v>
      </c>
      <c r="D8" s="36">
        <v>4</v>
      </c>
      <c r="E8" s="36">
        <v>16.5</v>
      </c>
      <c r="F8" s="36">
        <v>1.5</v>
      </c>
      <c r="G8" s="36">
        <v>0.45</v>
      </c>
      <c r="H8" s="36">
        <v>0.41</v>
      </c>
      <c r="I8" s="36">
        <v>0.04</v>
      </c>
      <c r="J8" s="36">
        <f>G8</f>
        <v>0.45</v>
      </c>
      <c r="K8" s="36">
        <f>H8</f>
        <v>0.41</v>
      </c>
      <c r="L8" s="36">
        <f t="shared" si="0"/>
        <v>4.0000000000000036E-2</v>
      </c>
      <c r="M8" s="34">
        <f t="shared" si="1"/>
        <v>9.7560975609756184E-2</v>
      </c>
      <c r="N8" s="35">
        <f t="shared" si="2"/>
        <v>18.210851999999999</v>
      </c>
      <c r="O8" s="35">
        <f t="shared" si="3"/>
        <v>16.592109599999997</v>
      </c>
      <c r="P8" s="33">
        <f t="shared" si="4"/>
        <v>1.6187424000000021</v>
      </c>
      <c r="Q8" s="34">
        <f t="shared" si="5"/>
        <v>9.756097560975624E-2</v>
      </c>
      <c r="R8" s="33">
        <f>VLOOKUP(A8,'[1]Kharif tonnage acres2025'!A8:C1798,2,FALSE)</f>
        <v>0</v>
      </c>
      <c r="S8" s="33">
        <f>VLOOKUP(A8,'[1]Kharif tonnage acres2025'!A7:C1798,3,FALSE)</f>
        <v>11.6</v>
      </c>
      <c r="T8" s="32" t="s">
        <v>243</v>
      </c>
      <c r="U8" s="41" t="s">
        <v>244</v>
      </c>
      <c r="V8" s="40" t="s">
        <v>245</v>
      </c>
      <c r="W8" s="42">
        <f>TRIMMEAN(Q:Q,0.05)</f>
        <v>0.28202829965352993</v>
      </c>
    </row>
    <row r="9" spans="1:24" ht="16.5" customHeight="1" thickBot="1" x14ac:dyDescent="0.25">
      <c r="A9" s="36">
        <v>1726041387616</v>
      </c>
      <c r="B9" s="36">
        <v>3</v>
      </c>
      <c r="C9" s="36">
        <v>13.67</v>
      </c>
      <c r="D9" s="36">
        <v>1</v>
      </c>
      <c r="E9" s="36">
        <v>12.38</v>
      </c>
      <c r="F9" s="36">
        <v>1.29</v>
      </c>
      <c r="G9" s="36">
        <v>1.04</v>
      </c>
      <c r="H9" s="36">
        <v>0.91</v>
      </c>
      <c r="I9" s="36">
        <v>0.96</v>
      </c>
      <c r="J9" s="37">
        <f>G9/3</f>
        <v>0.34666666666666668</v>
      </c>
      <c r="K9" s="37">
        <f>H9/3</f>
        <v>0.30333333333333334</v>
      </c>
      <c r="L9" s="37">
        <f t="shared" si="0"/>
        <v>4.3333333333333335E-2</v>
      </c>
      <c r="M9" s="34">
        <f t="shared" si="1"/>
        <v>0.14285714285714285</v>
      </c>
      <c r="N9" s="35">
        <f t="shared" si="2"/>
        <v>14.0291008</v>
      </c>
      <c r="O9" s="35">
        <f t="shared" si="3"/>
        <v>12.275463199999999</v>
      </c>
      <c r="P9" s="33">
        <f t="shared" si="4"/>
        <v>1.7536376000000011</v>
      </c>
      <c r="Q9" s="34">
        <f t="shared" si="5"/>
        <v>0.14285714285714296</v>
      </c>
      <c r="R9" s="33">
        <f>VLOOKUP(A9,'[1]Kharif tonnage acres2025'!A9:C1799,2,FALSE)</f>
        <v>9.09</v>
      </c>
      <c r="S9" s="33">
        <f>VLOOKUP(A9,'[1]Kharif tonnage acres2025'!A8:C1799,3,FALSE)</f>
        <v>100</v>
      </c>
      <c r="T9" s="32" t="s">
        <v>246</v>
      </c>
      <c r="U9" s="41" t="s">
        <v>247</v>
      </c>
      <c r="V9" s="40" t="s">
        <v>248</v>
      </c>
      <c r="W9" s="42">
        <f>MIN(Q:Q)</f>
        <v>-0.43902439024390233</v>
      </c>
    </row>
    <row r="10" spans="1:24" ht="30.5" customHeight="1" thickBot="1" x14ac:dyDescent="0.25">
      <c r="A10" s="36">
        <v>1727151811431</v>
      </c>
      <c r="B10" s="36">
        <v>55</v>
      </c>
      <c r="C10" s="36">
        <v>18.28</v>
      </c>
      <c r="D10" s="36">
        <v>1</v>
      </c>
      <c r="E10" s="36">
        <v>14.52</v>
      </c>
      <c r="F10" s="36">
        <v>3.76</v>
      </c>
      <c r="G10" s="36">
        <v>1.35</v>
      </c>
      <c r="H10" s="36">
        <v>1.07</v>
      </c>
      <c r="I10" s="36">
        <v>0.28000000000000003</v>
      </c>
      <c r="J10" s="37">
        <f>G10/3</f>
        <v>0.45</v>
      </c>
      <c r="K10" s="37">
        <f>H10/3</f>
        <v>0.35666666666666669</v>
      </c>
      <c r="L10" s="37">
        <f t="shared" si="0"/>
        <v>9.3333333333333324E-2</v>
      </c>
      <c r="M10" s="34">
        <f t="shared" si="1"/>
        <v>0.26168224299065418</v>
      </c>
      <c r="N10" s="35">
        <f t="shared" si="2"/>
        <v>18.210851999999999</v>
      </c>
      <c r="O10" s="35">
        <f t="shared" si="3"/>
        <v>14.433786399999999</v>
      </c>
      <c r="P10" s="33">
        <f t="shared" si="4"/>
        <v>3.7770656000000002</v>
      </c>
      <c r="Q10" s="34">
        <f t="shared" si="5"/>
        <v>0.26168224299065423</v>
      </c>
      <c r="R10" s="33">
        <f>VLOOKUP(A10,'[1]Kharif tonnage acres2025'!A10:C1800,2,FALSE)</f>
        <v>11.73</v>
      </c>
      <c r="S10" s="33">
        <f>VLOOKUP(A10,'[1]Kharif tonnage acres2025'!A9:C1800,3,FALSE)</f>
        <v>125</v>
      </c>
      <c r="T10" s="32" t="s">
        <v>249</v>
      </c>
      <c r="U10" s="41" t="s">
        <v>250</v>
      </c>
      <c r="V10" s="40" t="s">
        <v>251</v>
      </c>
      <c r="W10" s="42">
        <f>MAX(Q:Q)</f>
        <v>1.9999999999999993</v>
      </c>
    </row>
    <row r="11" spans="1:24" ht="34" customHeight="1" thickBot="1" x14ac:dyDescent="0.25">
      <c r="A11" s="38">
        <v>1744620291141</v>
      </c>
      <c r="B11" s="36">
        <v>1094</v>
      </c>
      <c r="C11" s="36">
        <v>28.32</v>
      </c>
      <c r="D11" s="36">
        <v>13</v>
      </c>
      <c r="E11" s="36">
        <v>16.18</v>
      </c>
      <c r="F11" s="36">
        <v>12.14</v>
      </c>
      <c r="G11" s="36">
        <v>0.7</v>
      </c>
      <c r="H11" s="36">
        <v>0.4</v>
      </c>
      <c r="I11" s="36">
        <v>0.3</v>
      </c>
      <c r="J11" s="36">
        <f>G11</f>
        <v>0.7</v>
      </c>
      <c r="K11" s="36">
        <f>H11</f>
        <v>0.4</v>
      </c>
      <c r="L11" s="36">
        <f t="shared" si="0"/>
        <v>0.29999999999999993</v>
      </c>
      <c r="M11" s="34">
        <f t="shared" si="1"/>
        <v>0.74999999999999978</v>
      </c>
      <c r="N11" s="35">
        <f t="shared" si="2"/>
        <v>28.327991999999995</v>
      </c>
      <c r="O11" s="35">
        <f t="shared" si="3"/>
        <v>16.187424</v>
      </c>
      <c r="P11" s="33">
        <f t="shared" si="4"/>
        <v>12.140567999999995</v>
      </c>
      <c r="Q11" s="34">
        <f t="shared" si="5"/>
        <v>0.74999999999999967</v>
      </c>
      <c r="R11" s="36">
        <v>6.21</v>
      </c>
      <c r="S11" s="33">
        <v>65</v>
      </c>
      <c r="T11" s="32" t="s">
        <v>252</v>
      </c>
      <c r="U11" s="41" t="s">
        <v>253</v>
      </c>
      <c r="V11" s="40" t="s">
        <v>254</v>
      </c>
      <c r="W11" s="39">
        <f>MAX(N:N)</f>
        <v>101.17139999999999</v>
      </c>
    </row>
    <row r="12" spans="1:24" ht="31.5" customHeight="1" thickBot="1" x14ac:dyDescent="0.25">
      <c r="A12" s="36">
        <v>1743844344980</v>
      </c>
      <c r="B12" s="36">
        <v>107</v>
      </c>
      <c r="C12" s="36">
        <v>13.31</v>
      </c>
      <c r="D12" s="36">
        <v>1</v>
      </c>
      <c r="E12" s="36">
        <v>9.83</v>
      </c>
      <c r="F12" s="36">
        <v>3.48</v>
      </c>
      <c r="G12" s="36">
        <v>0.98</v>
      </c>
      <c r="H12" s="36">
        <v>0.72</v>
      </c>
      <c r="I12" s="36">
        <v>0.26</v>
      </c>
      <c r="J12" s="37">
        <f>G12/3</f>
        <v>0.32666666666666666</v>
      </c>
      <c r="K12" s="37">
        <f>H12/3</f>
        <v>0.24</v>
      </c>
      <c r="L12" s="37">
        <f t="shared" si="0"/>
        <v>8.666666666666667E-2</v>
      </c>
      <c r="M12" s="34">
        <f t="shared" si="1"/>
        <v>0.36111111111111116</v>
      </c>
      <c r="N12" s="35">
        <f t="shared" si="2"/>
        <v>13.219729599999999</v>
      </c>
      <c r="O12" s="35">
        <f t="shared" si="3"/>
        <v>9.7124543999999986</v>
      </c>
      <c r="P12" s="33">
        <f t="shared" si="4"/>
        <v>3.5072752000000005</v>
      </c>
      <c r="Q12" s="34">
        <f t="shared" si="5"/>
        <v>0.36111111111111122</v>
      </c>
      <c r="R12" s="36">
        <v>5.36</v>
      </c>
      <c r="S12" s="33">
        <f>VLOOKUP(A12,'[1]Kharif tonnage acres2025'!A11:C1802,3,FALSE)</f>
        <v>100</v>
      </c>
      <c r="T12" s="32" t="s">
        <v>255</v>
      </c>
      <c r="U12" s="41" t="s">
        <v>256</v>
      </c>
      <c r="V12" s="40" t="s">
        <v>254</v>
      </c>
      <c r="W12" s="39">
        <f>MIN(N:N)</f>
        <v>6.4749695999999997</v>
      </c>
    </row>
    <row r="13" spans="1:24" ht="16.5" customHeight="1" thickBot="1" x14ac:dyDescent="0.25">
      <c r="A13" s="36">
        <v>1733721019866</v>
      </c>
      <c r="B13" s="36">
        <v>845</v>
      </c>
      <c r="C13" s="36">
        <v>24.5</v>
      </c>
      <c r="D13" s="36">
        <v>2</v>
      </c>
      <c r="E13" s="36">
        <v>17.5</v>
      </c>
      <c r="F13" s="36">
        <v>7</v>
      </c>
      <c r="G13" s="36">
        <v>0.6</v>
      </c>
      <c r="H13" s="36">
        <v>0.44</v>
      </c>
      <c r="I13" s="36">
        <v>0.16</v>
      </c>
      <c r="J13" s="36">
        <f t="shared" ref="J13:K15" si="6">G13</f>
        <v>0.6</v>
      </c>
      <c r="K13" s="36">
        <f t="shared" si="6"/>
        <v>0.44</v>
      </c>
      <c r="L13" s="36">
        <f t="shared" si="0"/>
        <v>0.15999999999999998</v>
      </c>
      <c r="M13" s="34">
        <f t="shared" si="1"/>
        <v>0.36363636363636359</v>
      </c>
      <c r="N13" s="35">
        <f t="shared" si="2"/>
        <v>24.281135999999996</v>
      </c>
      <c r="O13" s="35">
        <f t="shared" si="3"/>
        <v>17.806166399999999</v>
      </c>
      <c r="P13" s="33">
        <f t="shared" si="4"/>
        <v>6.4749695999999979</v>
      </c>
      <c r="Q13" s="34">
        <f t="shared" si="5"/>
        <v>0.36363636363636354</v>
      </c>
      <c r="R13" s="36">
        <v>15.94</v>
      </c>
      <c r="S13" s="33">
        <f>VLOOKUP(A13,'[1]Kharif tonnage acres2025'!A12:C1803,3,FALSE)</f>
        <v>100</v>
      </c>
      <c r="T13" s="32" t="s">
        <v>257</v>
      </c>
    </row>
    <row r="14" spans="1:24" ht="16.5" customHeight="1" thickBot="1" x14ac:dyDescent="0.25">
      <c r="A14" s="38">
        <v>1748500587905</v>
      </c>
      <c r="B14" s="36">
        <v>1094</v>
      </c>
      <c r="C14" s="36">
        <v>24.28</v>
      </c>
      <c r="D14" s="36">
        <v>13</v>
      </c>
      <c r="E14" s="36">
        <v>19.82</v>
      </c>
      <c r="F14" s="36">
        <v>4.46</v>
      </c>
      <c r="G14" s="36">
        <v>0.6</v>
      </c>
      <c r="H14" s="36">
        <v>0.49</v>
      </c>
      <c r="I14" s="36">
        <v>0.11</v>
      </c>
      <c r="J14" s="36">
        <f t="shared" si="6"/>
        <v>0.6</v>
      </c>
      <c r="K14" s="36">
        <f t="shared" si="6"/>
        <v>0.49</v>
      </c>
      <c r="L14" s="36">
        <f t="shared" si="0"/>
        <v>0.10999999999999999</v>
      </c>
      <c r="M14" s="34">
        <f t="shared" si="1"/>
        <v>0.22448979591836732</v>
      </c>
      <c r="N14" s="35">
        <f t="shared" si="2"/>
        <v>24.281135999999996</v>
      </c>
      <c r="O14" s="35">
        <f t="shared" si="3"/>
        <v>19.829594399999998</v>
      </c>
      <c r="P14" s="33">
        <f t="shared" si="4"/>
        <v>4.4515415999999988</v>
      </c>
      <c r="Q14" s="34">
        <f t="shared" si="5"/>
        <v>0.22448979591836732</v>
      </c>
      <c r="R14" s="36">
        <v>10.56</v>
      </c>
      <c r="S14" s="33">
        <v>50</v>
      </c>
      <c r="T14" s="32" t="s">
        <v>258</v>
      </c>
    </row>
    <row r="15" spans="1:24" ht="16.5" customHeight="1" thickBot="1" x14ac:dyDescent="0.25">
      <c r="A15" s="36">
        <v>1715928719043</v>
      </c>
      <c r="B15" s="36">
        <v>845</v>
      </c>
      <c r="C15" s="36">
        <v>13.3</v>
      </c>
      <c r="D15" s="36">
        <v>2</v>
      </c>
      <c r="E15" s="36">
        <v>11.3</v>
      </c>
      <c r="F15" s="36">
        <v>2</v>
      </c>
      <c r="G15" s="36">
        <v>0.33</v>
      </c>
      <c r="H15" s="36">
        <v>0.28000000000000003</v>
      </c>
      <c r="I15" s="36">
        <v>0.05</v>
      </c>
      <c r="J15" s="36">
        <f t="shared" si="6"/>
        <v>0.33</v>
      </c>
      <c r="K15" s="36">
        <f t="shared" si="6"/>
        <v>0.28000000000000003</v>
      </c>
      <c r="L15" s="36">
        <f t="shared" si="0"/>
        <v>4.9999999999999989E-2</v>
      </c>
      <c r="M15" s="34">
        <f t="shared" si="1"/>
        <v>0.17857142857142852</v>
      </c>
      <c r="N15" s="35">
        <f t="shared" si="2"/>
        <v>13.3546248</v>
      </c>
      <c r="O15" s="35">
        <f t="shared" si="3"/>
        <v>11.331196800000001</v>
      </c>
      <c r="P15" s="33">
        <f t="shared" si="4"/>
        <v>2.0234279999999991</v>
      </c>
      <c r="Q15" s="34">
        <f t="shared" si="5"/>
        <v>0.17857142857142849</v>
      </c>
      <c r="R15" s="36">
        <v>11.58</v>
      </c>
      <c r="S15" s="33">
        <f>VLOOKUP(A15,'[1]Kharif tonnage acres2025'!A14:C1805,3,FALSE)</f>
        <v>95</v>
      </c>
      <c r="T15" s="32" t="s">
        <v>259</v>
      </c>
    </row>
    <row r="16" spans="1:24" ht="16.5" customHeight="1" thickBot="1" x14ac:dyDescent="0.25">
      <c r="A16" s="36">
        <v>1727518386307</v>
      </c>
      <c r="B16" s="36">
        <v>7</v>
      </c>
      <c r="C16" s="36">
        <v>12.98</v>
      </c>
      <c r="D16" s="36">
        <v>1</v>
      </c>
      <c r="E16" s="36">
        <v>10.56</v>
      </c>
      <c r="F16" s="36">
        <v>2.42</v>
      </c>
      <c r="G16" s="36">
        <v>0.96</v>
      </c>
      <c r="H16" s="36">
        <v>0.78</v>
      </c>
      <c r="I16" s="36">
        <v>0.18</v>
      </c>
      <c r="J16" s="37">
        <f t="shared" ref="J16:K20" si="7">G16/3</f>
        <v>0.32</v>
      </c>
      <c r="K16" s="37">
        <f t="shared" si="7"/>
        <v>0.26</v>
      </c>
      <c r="L16" s="37">
        <f t="shared" si="0"/>
        <v>0.06</v>
      </c>
      <c r="M16" s="34">
        <f t="shared" si="1"/>
        <v>0.23076923076923075</v>
      </c>
      <c r="N16" s="35">
        <f t="shared" si="2"/>
        <v>12.949939199999999</v>
      </c>
      <c r="O16" s="35">
        <f t="shared" si="3"/>
        <v>10.5218256</v>
      </c>
      <c r="P16" s="33">
        <f t="shared" si="4"/>
        <v>2.4281135999999996</v>
      </c>
      <c r="Q16" s="34">
        <f t="shared" si="5"/>
        <v>0.23076923076923075</v>
      </c>
      <c r="R16" s="36">
        <v>12.51</v>
      </c>
      <c r="S16" s="33">
        <f>VLOOKUP(A16,'[1]Kharif tonnage acres2025'!A15:C1806,3,FALSE)</f>
        <v>210</v>
      </c>
      <c r="T16" s="32" t="s">
        <v>260</v>
      </c>
    </row>
    <row r="17" spans="1:20" ht="16.5" customHeight="1" thickBot="1" x14ac:dyDescent="0.25">
      <c r="A17" s="36">
        <v>1729140634986</v>
      </c>
      <c r="B17" s="36">
        <v>132</v>
      </c>
      <c r="C17" s="36">
        <v>14.32</v>
      </c>
      <c r="D17" s="36">
        <v>1</v>
      </c>
      <c r="E17" s="36">
        <v>11.97</v>
      </c>
      <c r="F17" s="36">
        <v>2.35</v>
      </c>
      <c r="G17" s="36">
        <v>1.06</v>
      </c>
      <c r="H17" s="36">
        <v>0.88</v>
      </c>
      <c r="I17" s="36">
        <v>0.18</v>
      </c>
      <c r="J17" s="37">
        <f t="shared" si="7"/>
        <v>0.35333333333333333</v>
      </c>
      <c r="K17" s="37">
        <f t="shared" si="7"/>
        <v>0.29333333333333333</v>
      </c>
      <c r="L17" s="37">
        <f t="shared" si="0"/>
        <v>0.06</v>
      </c>
      <c r="M17" s="34">
        <f t="shared" si="1"/>
        <v>0.20454545454545453</v>
      </c>
      <c r="N17" s="35">
        <f t="shared" si="2"/>
        <v>14.298891199999998</v>
      </c>
      <c r="O17" s="35">
        <f t="shared" si="3"/>
        <v>11.870777599999998</v>
      </c>
      <c r="P17" s="33">
        <f t="shared" si="4"/>
        <v>2.4281135999999996</v>
      </c>
      <c r="Q17" s="34">
        <f t="shared" si="5"/>
        <v>0.20454545454545453</v>
      </c>
      <c r="R17" s="36">
        <v>4.4400000000000004</v>
      </c>
      <c r="S17" s="33">
        <f>VLOOKUP(A17,'[1]Kharif tonnage acres2025'!A16:C1807,3,FALSE)</f>
        <v>200</v>
      </c>
      <c r="T17" s="32" t="s">
        <v>261</v>
      </c>
    </row>
    <row r="18" spans="1:20" ht="16.5" customHeight="1" thickBot="1" x14ac:dyDescent="0.25">
      <c r="A18" s="36">
        <v>1736148507326</v>
      </c>
      <c r="B18" s="36">
        <v>132</v>
      </c>
      <c r="C18" s="36">
        <v>12.54</v>
      </c>
      <c r="D18" s="36">
        <v>1</v>
      </c>
      <c r="E18" s="36">
        <v>11.53</v>
      </c>
      <c r="F18" s="36">
        <v>1.01</v>
      </c>
      <c r="G18" s="36">
        <v>0.93</v>
      </c>
      <c r="H18" s="36">
        <v>0.85</v>
      </c>
      <c r="I18" s="36">
        <v>0.08</v>
      </c>
      <c r="J18" s="37">
        <f t="shared" si="7"/>
        <v>0.31</v>
      </c>
      <c r="K18" s="37">
        <f t="shared" si="7"/>
        <v>0.28333333333333333</v>
      </c>
      <c r="L18" s="37">
        <f t="shared" si="0"/>
        <v>2.6666666666666672E-2</v>
      </c>
      <c r="M18" s="34">
        <f t="shared" si="1"/>
        <v>9.4117647058823556E-2</v>
      </c>
      <c r="N18" s="35">
        <f t="shared" si="2"/>
        <v>12.545253599999999</v>
      </c>
      <c r="O18" s="35">
        <f t="shared" si="3"/>
        <v>11.466091999999998</v>
      </c>
      <c r="P18" s="33">
        <f t="shared" si="4"/>
        <v>1.0791616000000008</v>
      </c>
      <c r="Q18" s="34">
        <f t="shared" si="5"/>
        <v>9.4117647058823625E-2</v>
      </c>
      <c r="R18" s="36">
        <v>7.63</v>
      </c>
      <c r="S18" s="33">
        <f>VLOOKUP(A18,'[1]Kharif tonnage acres2025'!A17:C1808,3,FALSE)</f>
        <v>90</v>
      </c>
      <c r="T18" s="32" t="s">
        <v>262</v>
      </c>
    </row>
    <row r="19" spans="1:20" ht="16.5" customHeight="1" thickBot="1" x14ac:dyDescent="0.25">
      <c r="A19" s="36">
        <v>2126</v>
      </c>
      <c r="B19" s="36">
        <v>132</v>
      </c>
      <c r="C19" s="36">
        <v>12.66</v>
      </c>
      <c r="D19" s="36">
        <v>1</v>
      </c>
      <c r="E19" s="36">
        <v>11.73</v>
      </c>
      <c r="F19" s="36">
        <v>0.93</v>
      </c>
      <c r="G19" s="36">
        <v>0.93</v>
      </c>
      <c r="H19" s="36">
        <v>0.87</v>
      </c>
      <c r="I19" s="36">
        <v>0.06</v>
      </c>
      <c r="J19" s="37">
        <f t="shared" si="7"/>
        <v>0.31</v>
      </c>
      <c r="K19" s="37">
        <f t="shared" si="7"/>
        <v>0.28999999999999998</v>
      </c>
      <c r="L19" s="37">
        <f t="shared" si="0"/>
        <v>2.0000000000000018E-2</v>
      </c>
      <c r="M19" s="34">
        <f t="shared" si="1"/>
        <v>6.8965517241379379E-2</v>
      </c>
      <c r="N19" s="35">
        <f t="shared" si="2"/>
        <v>12.545253599999999</v>
      </c>
      <c r="O19" s="35">
        <f t="shared" si="3"/>
        <v>11.735882399999998</v>
      </c>
      <c r="P19" s="33">
        <f t="shared" si="4"/>
        <v>0.80937120000000107</v>
      </c>
      <c r="Q19" s="34">
        <f t="shared" si="5"/>
        <v>6.896551724137942E-2</v>
      </c>
      <c r="R19" s="36">
        <v>9.44</v>
      </c>
      <c r="S19" s="33">
        <f>VLOOKUP(A19,'[1]Kharif tonnage acres2025'!A18:C1809,3,FALSE)</f>
        <v>260</v>
      </c>
      <c r="T19" s="32" t="s">
        <v>263</v>
      </c>
    </row>
    <row r="20" spans="1:20" ht="16.5" customHeight="1" thickBot="1" x14ac:dyDescent="0.25">
      <c r="A20" s="36">
        <v>1725600601253</v>
      </c>
      <c r="B20" s="36">
        <v>3</v>
      </c>
      <c r="C20" s="36">
        <v>15.17</v>
      </c>
      <c r="D20" s="36">
        <v>1</v>
      </c>
      <c r="E20" s="36">
        <v>12.86</v>
      </c>
      <c r="F20" s="36">
        <v>2.31</v>
      </c>
      <c r="G20" s="36">
        <v>1.1200000000000001</v>
      </c>
      <c r="H20" s="36">
        <v>0.95</v>
      </c>
      <c r="I20" s="36">
        <v>0.17</v>
      </c>
      <c r="J20" s="37">
        <f t="shared" si="7"/>
        <v>0.37333333333333335</v>
      </c>
      <c r="K20" s="37">
        <f t="shared" si="7"/>
        <v>0.31666666666666665</v>
      </c>
      <c r="L20" s="37">
        <f t="shared" si="0"/>
        <v>5.6666666666666698E-2</v>
      </c>
      <c r="M20" s="34">
        <f t="shared" si="1"/>
        <v>0.17894736842105274</v>
      </c>
      <c r="N20" s="35">
        <f t="shared" si="2"/>
        <v>15.108262399999999</v>
      </c>
      <c r="O20" s="35">
        <f t="shared" si="3"/>
        <v>12.815043999999999</v>
      </c>
      <c r="P20" s="33">
        <f t="shared" si="4"/>
        <v>2.2932184000000007</v>
      </c>
      <c r="Q20" s="34">
        <f t="shared" si="5"/>
        <v>0.17894736842105272</v>
      </c>
      <c r="R20" s="36">
        <v>4.8099999999999996</v>
      </c>
      <c r="S20" s="33">
        <f>VLOOKUP(A20,'[1]Kharif tonnage acres2025'!A19:C1810,3,FALSE)</f>
        <v>200</v>
      </c>
      <c r="T20" s="32" t="s">
        <v>264</v>
      </c>
    </row>
    <row r="21" spans="1:20" ht="16.5" customHeight="1" thickBot="1" x14ac:dyDescent="0.25">
      <c r="A21" s="36">
        <v>1750057272690</v>
      </c>
      <c r="B21" s="36">
        <v>855</v>
      </c>
      <c r="C21" s="36">
        <v>17.5</v>
      </c>
      <c r="D21" s="36">
        <v>4</v>
      </c>
      <c r="E21" s="36">
        <v>16</v>
      </c>
      <c r="F21" s="36">
        <v>1.5</v>
      </c>
      <c r="G21" s="36">
        <v>0.43</v>
      </c>
      <c r="H21" s="36">
        <v>0.39</v>
      </c>
      <c r="I21" s="36">
        <v>0.04</v>
      </c>
      <c r="J21" s="36">
        <f>G21</f>
        <v>0.43</v>
      </c>
      <c r="K21" s="36">
        <f>H21</f>
        <v>0.39</v>
      </c>
      <c r="L21" s="36">
        <f t="shared" si="0"/>
        <v>3.999999999999998E-2</v>
      </c>
      <c r="M21" s="34">
        <f t="shared" si="1"/>
        <v>0.10256410256410251</v>
      </c>
      <c r="N21" s="35">
        <f t="shared" si="2"/>
        <v>17.401480799999998</v>
      </c>
      <c r="O21" s="35">
        <f t="shared" si="3"/>
        <v>15.7827384</v>
      </c>
      <c r="P21" s="33">
        <f t="shared" si="4"/>
        <v>1.6187423999999986</v>
      </c>
      <c r="Q21" s="34">
        <f t="shared" si="5"/>
        <v>0.10256410256410248</v>
      </c>
      <c r="R21" s="36">
        <v>8.36</v>
      </c>
      <c r="S21" s="33">
        <f>VLOOKUP(A21,'[1]Kharif tonnage acres2025'!A20:C1811,3,FALSE)</f>
        <v>1.63</v>
      </c>
      <c r="T21" s="32" t="s">
        <v>265</v>
      </c>
    </row>
    <row r="22" spans="1:20" ht="16.5" customHeight="1" thickBot="1" x14ac:dyDescent="0.25">
      <c r="A22" s="36">
        <v>1730182354607</v>
      </c>
      <c r="B22" s="36">
        <v>124</v>
      </c>
      <c r="C22" s="36">
        <v>11.73</v>
      </c>
      <c r="D22" s="36">
        <v>1</v>
      </c>
      <c r="E22" s="36">
        <v>9.2899999999999991</v>
      </c>
      <c r="F22" s="36">
        <v>2.44</v>
      </c>
      <c r="G22" s="36">
        <v>0.87</v>
      </c>
      <c r="H22" s="36">
        <v>0.69</v>
      </c>
      <c r="I22" s="36">
        <v>0.18</v>
      </c>
      <c r="J22" s="37">
        <f>G22/3</f>
        <v>0.28999999999999998</v>
      </c>
      <c r="K22" s="37">
        <f>H22/3</f>
        <v>0.22999999999999998</v>
      </c>
      <c r="L22" s="37">
        <f t="shared" si="0"/>
        <v>0.06</v>
      </c>
      <c r="M22" s="34">
        <f t="shared" si="1"/>
        <v>0.2608695652173913</v>
      </c>
      <c r="N22" s="35">
        <f t="shared" si="2"/>
        <v>11.735882399999998</v>
      </c>
      <c r="O22" s="35">
        <f t="shared" si="3"/>
        <v>9.3077687999999981</v>
      </c>
      <c r="P22" s="33">
        <f t="shared" si="4"/>
        <v>2.4281135999999996</v>
      </c>
      <c r="Q22" s="34">
        <f t="shared" si="5"/>
        <v>0.2608695652173913</v>
      </c>
      <c r="R22" s="36">
        <v>8.74</v>
      </c>
      <c r="S22" s="33">
        <f>VLOOKUP(A22,'[1]Kharif tonnage acres2025'!A21:C1812,3,FALSE)</f>
        <v>85</v>
      </c>
      <c r="T22" s="32" t="s">
        <v>266</v>
      </c>
    </row>
    <row r="23" spans="1:20" ht="16.5" customHeight="1" thickBot="1" x14ac:dyDescent="0.25">
      <c r="A23" s="36">
        <v>1743486604944</v>
      </c>
      <c r="B23" s="36">
        <v>1038</v>
      </c>
      <c r="C23" s="36">
        <v>17</v>
      </c>
      <c r="D23" s="36">
        <v>4</v>
      </c>
      <c r="E23" s="36">
        <v>15</v>
      </c>
      <c r="F23" s="36">
        <v>2</v>
      </c>
      <c r="G23" s="36">
        <v>0.42</v>
      </c>
      <c r="H23" s="36">
        <v>0.37</v>
      </c>
      <c r="I23" s="36">
        <v>0.05</v>
      </c>
      <c r="J23" s="36">
        <f>G23</f>
        <v>0.42</v>
      </c>
      <c r="K23" s="36">
        <f>H23</f>
        <v>0.37</v>
      </c>
      <c r="L23" s="36">
        <f t="shared" si="0"/>
        <v>4.9999999999999989E-2</v>
      </c>
      <c r="M23" s="34">
        <f t="shared" si="1"/>
        <v>0.13513513513513511</v>
      </c>
      <c r="N23" s="35">
        <f t="shared" si="2"/>
        <v>16.996795199999998</v>
      </c>
      <c r="O23" s="35">
        <f t="shared" si="3"/>
        <v>14.973367199999998</v>
      </c>
      <c r="P23" s="33">
        <f t="shared" si="4"/>
        <v>2.0234279999999991</v>
      </c>
      <c r="Q23" s="34">
        <f t="shared" si="5"/>
        <v>0.13513513513513509</v>
      </c>
      <c r="R23" s="36">
        <v>12.07</v>
      </c>
      <c r="S23" s="33">
        <f>VLOOKUP(A23,'[1]Kharif tonnage acres2025'!A22:C1813,3,FALSE)</f>
        <v>7.39</v>
      </c>
      <c r="T23" s="32" t="s">
        <v>267</v>
      </c>
    </row>
    <row r="24" spans="1:20" ht="16.5" customHeight="1" thickBot="1" x14ac:dyDescent="0.25">
      <c r="A24" s="36">
        <v>1738129011868</v>
      </c>
      <c r="B24" s="36">
        <v>939</v>
      </c>
      <c r="C24" s="36">
        <v>17</v>
      </c>
      <c r="D24" s="36">
        <v>4</v>
      </c>
      <c r="E24" s="36">
        <v>14</v>
      </c>
      <c r="F24" s="36">
        <v>3</v>
      </c>
      <c r="G24" s="36">
        <v>0.43</v>
      </c>
      <c r="H24" s="36">
        <v>0.34</v>
      </c>
      <c r="I24" s="36">
        <v>0.09</v>
      </c>
      <c r="J24" s="36">
        <f>G24</f>
        <v>0.43</v>
      </c>
      <c r="K24" s="36">
        <f>H24</f>
        <v>0.34</v>
      </c>
      <c r="L24" s="36">
        <f t="shared" si="0"/>
        <v>8.9999999999999969E-2</v>
      </c>
      <c r="M24" s="34">
        <f t="shared" si="1"/>
        <v>0.26470588235294107</v>
      </c>
      <c r="N24" s="35">
        <f t="shared" si="2"/>
        <v>17.401480799999998</v>
      </c>
      <c r="O24" s="35">
        <f t="shared" si="3"/>
        <v>13.7593104</v>
      </c>
      <c r="P24" s="33">
        <f t="shared" si="4"/>
        <v>3.6421703999999977</v>
      </c>
      <c r="Q24" s="34">
        <f t="shared" si="5"/>
        <v>0.26470588235294101</v>
      </c>
      <c r="R24" s="36">
        <v>11.76</v>
      </c>
      <c r="S24" s="33">
        <f>VLOOKUP(A24,'[1]Kharif tonnage acres2025'!A23:C1814,3,FALSE)</f>
        <v>3.48</v>
      </c>
      <c r="T24" s="32" t="s">
        <v>268</v>
      </c>
    </row>
    <row r="25" spans="1:20" ht="16.5" customHeight="1" thickBot="1" x14ac:dyDescent="0.25">
      <c r="A25" s="36">
        <v>1725951396481</v>
      </c>
      <c r="B25" s="36">
        <v>3</v>
      </c>
      <c r="C25" s="36">
        <v>14.24</v>
      </c>
      <c r="D25" s="36">
        <v>1</v>
      </c>
      <c r="E25" s="36">
        <v>12.46</v>
      </c>
      <c r="F25" s="36">
        <v>1.78</v>
      </c>
      <c r="G25" s="36">
        <v>1.05</v>
      </c>
      <c r="H25" s="36">
        <v>0.92</v>
      </c>
      <c r="I25" s="36">
        <v>0.13</v>
      </c>
      <c r="J25" s="37">
        <f>G25/3</f>
        <v>0.35000000000000003</v>
      </c>
      <c r="K25" s="37">
        <f>H25/3</f>
        <v>0.3066666666666667</v>
      </c>
      <c r="L25" s="37">
        <f t="shared" si="0"/>
        <v>4.3333333333333335E-2</v>
      </c>
      <c r="M25" s="34">
        <f t="shared" si="1"/>
        <v>0.14130434782608695</v>
      </c>
      <c r="N25" s="35">
        <f t="shared" si="2"/>
        <v>14.163996000000001</v>
      </c>
      <c r="O25" s="35">
        <f t="shared" si="3"/>
        <v>12.4103584</v>
      </c>
      <c r="P25" s="33">
        <f t="shared" si="4"/>
        <v>1.7536376000000011</v>
      </c>
      <c r="Q25" s="34">
        <f t="shared" si="5"/>
        <v>0.14130434782608706</v>
      </c>
      <c r="R25" s="36">
        <v>11.49</v>
      </c>
      <c r="S25" s="33">
        <f>VLOOKUP(A25,'[1]Kharif tonnage acres2025'!A24:C1815,3,FALSE)</f>
        <v>245</v>
      </c>
      <c r="T25" s="32" t="s">
        <v>264</v>
      </c>
    </row>
    <row r="26" spans="1:20" ht="16.5" customHeight="1" thickBot="1" x14ac:dyDescent="0.25">
      <c r="A26" s="36">
        <v>1714709737320</v>
      </c>
      <c r="B26" s="36">
        <v>769</v>
      </c>
      <c r="C26" s="36">
        <v>11</v>
      </c>
      <c r="D26" s="36">
        <v>2</v>
      </c>
      <c r="E26" s="36">
        <v>9</v>
      </c>
      <c r="F26" s="36">
        <v>2</v>
      </c>
      <c r="G26" s="36">
        <v>0.28000000000000003</v>
      </c>
      <c r="H26" s="36">
        <v>0.22</v>
      </c>
      <c r="I26" s="36">
        <v>0.05</v>
      </c>
      <c r="J26" s="36">
        <f>G26</f>
        <v>0.28000000000000003</v>
      </c>
      <c r="K26" s="36">
        <f>H26</f>
        <v>0.22</v>
      </c>
      <c r="L26" s="36">
        <f t="shared" si="0"/>
        <v>6.0000000000000026E-2</v>
      </c>
      <c r="M26" s="34">
        <f t="shared" si="1"/>
        <v>0.27272727272727282</v>
      </c>
      <c r="N26" s="35">
        <f t="shared" si="2"/>
        <v>11.331196800000001</v>
      </c>
      <c r="O26" s="35">
        <f t="shared" si="3"/>
        <v>8.9030831999999993</v>
      </c>
      <c r="P26" s="33">
        <f t="shared" si="4"/>
        <v>2.4281136000000014</v>
      </c>
      <c r="Q26" s="34">
        <f t="shared" si="5"/>
        <v>0.27272727272727293</v>
      </c>
      <c r="R26" s="36">
        <v>7.8</v>
      </c>
      <c r="S26" s="33">
        <f>VLOOKUP(A26,'[1]Kharif tonnage acres2025'!A25:C1816,3,FALSE)</f>
        <v>60</v>
      </c>
      <c r="T26" s="32" t="s">
        <v>269</v>
      </c>
    </row>
    <row r="27" spans="1:20" ht="16.5" customHeight="1" thickBot="1" x14ac:dyDescent="0.25">
      <c r="A27" s="36">
        <v>1744016112133</v>
      </c>
      <c r="B27" s="36">
        <v>1038</v>
      </c>
      <c r="C27" s="36">
        <v>17</v>
      </c>
      <c r="D27" s="36">
        <v>4</v>
      </c>
      <c r="E27" s="36">
        <v>14</v>
      </c>
      <c r="F27" s="36">
        <v>3</v>
      </c>
      <c r="G27" s="36">
        <v>0.42</v>
      </c>
      <c r="H27" s="36">
        <v>0.35</v>
      </c>
      <c r="I27" s="36">
        <v>7.0000000000000007E-2</v>
      </c>
      <c r="J27" s="36">
        <f>G27</f>
        <v>0.42</v>
      </c>
      <c r="K27" s="36">
        <f>H27</f>
        <v>0.35</v>
      </c>
      <c r="L27" s="36">
        <f t="shared" si="0"/>
        <v>7.0000000000000007E-2</v>
      </c>
      <c r="M27" s="34">
        <f t="shared" si="1"/>
        <v>0.20000000000000004</v>
      </c>
      <c r="N27" s="35">
        <f t="shared" si="2"/>
        <v>16.996795199999998</v>
      </c>
      <c r="O27" s="35">
        <f t="shared" si="3"/>
        <v>14.163995999999997</v>
      </c>
      <c r="P27" s="33">
        <f t="shared" si="4"/>
        <v>2.8327992000000002</v>
      </c>
      <c r="Q27" s="34">
        <f t="shared" si="5"/>
        <v>0.20000000000000004</v>
      </c>
      <c r="R27" s="33">
        <f>VLOOKUP(A27,'[1]Kharif tonnage acres2025'!A27:C1817,2,FALSE)</f>
        <v>0</v>
      </c>
      <c r="S27" s="33">
        <f>VLOOKUP(A27,'[1]Kharif tonnage acres2025'!A26:C1817,3,FALSE)</f>
        <v>6.69</v>
      </c>
      <c r="T27" s="32" t="s">
        <v>270</v>
      </c>
    </row>
    <row r="28" spans="1:20" ht="16.5" customHeight="1" thickBot="1" x14ac:dyDescent="0.25">
      <c r="A28" s="36">
        <v>2625</v>
      </c>
      <c r="B28" s="36">
        <v>739</v>
      </c>
      <c r="C28" s="36">
        <v>13.95</v>
      </c>
      <c r="D28" s="36">
        <v>1</v>
      </c>
      <c r="E28" s="36">
        <v>11.85</v>
      </c>
      <c r="F28" s="36">
        <v>2.1</v>
      </c>
      <c r="G28" s="36">
        <v>1.03</v>
      </c>
      <c r="H28" s="36">
        <v>0.87</v>
      </c>
      <c r="I28" s="36">
        <v>0.16</v>
      </c>
      <c r="J28" s="37">
        <f>G28/3</f>
        <v>0.34333333333333332</v>
      </c>
      <c r="K28" s="37">
        <f>H28/3</f>
        <v>0.28999999999999998</v>
      </c>
      <c r="L28" s="37">
        <f t="shared" si="0"/>
        <v>5.3333333333333344E-2</v>
      </c>
      <c r="M28" s="34">
        <f t="shared" si="1"/>
        <v>0.18390804597701155</v>
      </c>
      <c r="N28" s="35">
        <f t="shared" si="2"/>
        <v>13.894205599999998</v>
      </c>
      <c r="O28" s="35">
        <f t="shared" si="3"/>
        <v>11.735882399999998</v>
      </c>
      <c r="P28" s="33">
        <f t="shared" si="4"/>
        <v>2.1583231999999999</v>
      </c>
      <c r="Q28" s="34">
        <f t="shared" si="5"/>
        <v>0.18390804597701152</v>
      </c>
      <c r="R28" s="33">
        <f>VLOOKUP(A28,'[1]Kharif tonnage acres2025'!A28:C1818,2,FALSE)</f>
        <v>18.920000000000002</v>
      </c>
      <c r="S28" s="33">
        <f>VLOOKUP(A28,'[1]Kharif tonnage acres2025'!A27:C1818,3,FALSE)</f>
        <v>190</v>
      </c>
      <c r="T28" s="32" t="s">
        <v>271</v>
      </c>
    </row>
    <row r="29" spans="1:20" ht="16.5" customHeight="1" thickBot="1" x14ac:dyDescent="0.25">
      <c r="A29" s="36">
        <v>1746455992733</v>
      </c>
      <c r="B29" s="36">
        <v>939</v>
      </c>
      <c r="C29" s="36">
        <v>16</v>
      </c>
      <c r="D29" s="36">
        <v>4</v>
      </c>
      <c r="E29" s="36">
        <v>12</v>
      </c>
      <c r="F29" s="36">
        <v>0.4</v>
      </c>
      <c r="G29" s="36">
        <v>0.4</v>
      </c>
      <c r="H29" s="36">
        <v>0.3</v>
      </c>
      <c r="I29" s="36">
        <v>0.1</v>
      </c>
      <c r="J29" s="36">
        <f t="shared" ref="J29:K31" si="8">G29</f>
        <v>0.4</v>
      </c>
      <c r="K29" s="36">
        <f t="shared" si="8"/>
        <v>0.3</v>
      </c>
      <c r="L29" s="36">
        <f t="shared" si="0"/>
        <v>0.10000000000000003</v>
      </c>
      <c r="M29" s="34">
        <f t="shared" si="1"/>
        <v>0.33333333333333348</v>
      </c>
      <c r="N29" s="35">
        <f t="shared" si="2"/>
        <v>16.187424</v>
      </c>
      <c r="O29" s="35">
        <f t="shared" si="3"/>
        <v>12.140567999999998</v>
      </c>
      <c r="P29" s="33">
        <f t="shared" si="4"/>
        <v>4.0468560000000018</v>
      </c>
      <c r="Q29" s="34">
        <f t="shared" si="5"/>
        <v>0.33333333333333354</v>
      </c>
      <c r="R29" s="33">
        <f>VLOOKUP(A29,'[1]Kharif tonnage acres2025'!A29:C1819,2,FALSE)</f>
        <v>0</v>
      </c>
      <c r="S29" s="33">
        <f>VLOOKUP(A29,'[1]Kharif tonnage acres2025'!A28:C1819,3,FALSE)</f>
        <v>11.8</v>
      </c>
      <c r="T29" s="32" t="s">
        <v>272</v>
      </c>
    </row>
    <row r="30" spans="1:20" ht="16.5" customHeight="1" thickBot="1" x14ac:dyDescent="0.25">
      <c r="A30" s="38">
        <v>1745481111010</v>
      </c>
      <c r="B30" s="36">
        <v>1094</v>
      </c>
      <c r="C30" s="36">
        <v>21.44</v>
      </c>
      <c r="D30" s="36">
        <v>13</v>
      </c>
      <c r="E30" s="36">
        <v>13.75</v>
      </c>
      <c r="F30" s="36">
        <v>7.69</v>
      </c>
      <c r="G30" s="36">
        <v>0.53</v>
      </c>
      <c r="H30" s="36">
        <v>0.34</v>
      </c>
      <c r="I30" s="36">
        <v>0.19</v>
      </c>
      <c r="J30" s="36">
        <f t="shared" si="8"/>
        <v>0.53</v>
      </c>
      <c r="K30" s="36">
        <f t="shared" si="8"/>
        <v>0.34</v>
      </c>
      <c r="L30" s="36">
        <f t="shared" si="0"/>
        <v>0.19</v>
      </c>
      <c r="M30" s="34">
        <f t="shared" si="1"/>
        <v>0.55882352941176472</v>
      </c>
      <c r="N30" s="35">
        <f t="shared" si="2"/>
        <v>21.4483368</v>
      </c>
      <c r="O30" s="35">
        <f t="shared" si="3"/>
        <v>13.7593104</v>
      </c>
      <c r="P30" s="33">
        <f t="shared" si="4"/>
        <v>7.6890263999999995</v>
      </c>
      <c r="Q30" s="34">
        <f t="shared" si="5"/>
        <v>0.55882352941176461</v>
      </c>
      <c r="R30" s="36">
        <v>15.94</v>
      </c>
      <c r="S30" s="33">
        <v>145</v>
      </c>
      <c r="T30" s="32" t="s">
        <v>273</v>
      </c>
    </row>
    <row r="31" spans="1:20" ht="16.5" customHeight="1" thickBot="1" x14ac:dyDescent="0.25">
      <c r="A31" s="36">
        <v>1745495962758</v>
      </c>
      <c r="B31" s="36">
        <v>939</v>
      </c>
      <c r="C31" s="36">
        <v>21</v>
      </c>
      <c r="D31" s="36">
        <v>4</v>
      </c>
      <c r="E31" s="36">
        <v>16</v>
      </c>
      <c r="F31" s="36">
        <v>5</v>
      </c>
      <c r="G31" s="36">
        <v>0.52</v>
      </c>
      <c r="H31" s="36">
        <v>0.4</v>
      </c>
      <c r="I31" s="36">
        <v>0.12</v>
      </c>
      <c r="J31" s="36">
        <f t="shared" si="8"/>
        <v>0.52</v>
      </c>
      <c r="K31" s="36">
        <f t="shared" si="8"/>
        <v>0.4</v>
      </c>
      <c r="L31" s="36">
        <f t="shared" si="0"/>
        <v>0.12</v>
      </c>
      <c r="M31" s="34">
        <f t="shared" si="1"/>
        <v>0.3</v>
      </c>
      <c r="N31" s="35">
        <f t="shared" si="2"/>
        <v>21.043651199999999</v>
      </c>
      <c r="O31" s="35">
        <f t="shared" si="3"/>
        <v>16.187424</v>
      </c>
      <c r="P31" s="33">
        <f t="shared" si="4"/>
        <v>4.8562271999999993</v>
      </c>
      <c r="Q31" s="34">
        <f t="shared" si="5"/>
        <v>0.29999999999999993</v>
      </c>
      <c r="R31" s="36">
        <v>10.56</v>
      </c>
      <c r="S31" s="33">
        <f>VLOOKUP(A31,'[1]Kharif tonnage acres2025'!A30:C1821,3,FALSE)</f>
        <v>7.6</v>
      </c>
      <c r="T31" s="32" t="s">
        <v>274</v>
      </c>
    </row>
    <row r="32" spans="1:20" ht="16.5" customHeight="1" thickBot="1" x14ac:dyDescent="0.25">
      <c r="A32" s="36">
        <v>1727419104712</v>
      </c>
      <c r="B32" s="36">
        <v>7</v>
      </c>
      <c r="C32" s="36">
        <v>21.64</v>
      </c>
      <c r="D32" s="36">
        <v>1</v>
      </c>
      <c r="E32" s="36">
        <v>15.77</v>
      </c>
      <c r="F32" s="36">
        <v>5.87</v>
      </c>
      <c r="G32" s="36">
        <v>1.6</v>
      </c>
      <c r="H32" s="36">
        <v>1.17</v>
      </c>
      <c r="I32" s="36">
        <v>0.43</v>
      </c>
      <c r="J32" s="37">
        <f>G32/3</f>
        <v>0.53333333333333333</v>
      </c>
      <c r="K32" s="37">
        <f>H32/3</f>
        <v>0.38999999999999996</v>
      </c>
      <c r="L32" s="37">
        <f t="shared" si="0"/>
        <v>0.14333333333333337</v>
      </c>
      <c r="M32" s="34">
        <f t="shared" si="1"/>
        <v>0.36752136752136766</v>
      </c>
      <c r="N32" s="35">
        <f t="shared" si="2"/>
        <v>21.583231999999999</v>
      </c>
      <c r="O32" s="35">
        <f t="shared" si="3"/>
        <v>15.782738399999998</v>
      </c>
      <c r="P32" s="33">
        <f t="shared" si="4"/>
        <v>5.8004936000000011</v>
      </c>
      <c r="Q32" s="34">
        <f t="shared" si="5"/>
        <v>0.36752136752136766</v>
      </c>
      <c r="R32" s="36">
        <v>11.58</v>
      </c>
      <c r="S32" s="33">
        <f>VLOOKUP(A32,'[1]Kharif tonnage acres2025'!A31:C1822,3,FALSE)</f>
        <v>150</v>
      </c>
      <c r="T32" s="32" t="s">
        <v>275</v>
      </c>
    </row>
    <row r="33" spans="1:20" ht="16.5" customHeight="1" thickBot="1" x14ac:dyDescent="0.25">
      <c r="A33" s="36">
        <v>1727518510122</v>
      </c>
      <c r="B33" s="36">
        <v>7</v>
      </c>
      <c r="C33" s="36">
        <v>17.600000000000001</v>
      </c>
      <c r="D33" s="36">
        <v>1</v>
      </c>
      <c r="E33" s="36">
        <v>11.73</v>
      </c>
      <c r="F33" s="36">
        <v>5.87</v>
      </c>
      <c r="G33" s="36">
        <v>1.3</v>
      </c>
      <c r="H33" s="36">
        <v>0.87</v>
      </c>
      <c r="I33" s="36">
        <v>0.43</v>
      </c>
      <c r="J33" s="37">
        <f>G33/3</f>
        <v>0.43333333333333335</v>
      </c>
      <c r="K33" s="37">
        <f>H33/3</f>
        <v>0.28999999999999998</v>
      </c>
      <c r="L33" s="37">
        <f t="shared" si="0"/>
        <v>0.14333333333333337</v>
      </c>
      <c r="M33" s="34">
        <f t="shared" si="1"/>
        <v>0.49425287356321856</v>
      </c>
      <c r="N33" s="35">
        <f t="shared" si="2"/>
        <v>17.536376000000001</v>
      </c>
      <c r="O33" s="35">
        <f t="shared" si="3"/>
        <v>11.735882399999998</v>
      </c>
      <c r="P33" s="33">
        <f t="shared" si="4"/>
        <v>5.8004936000000029</v>
      </c>
      <c r="Q33" s="34">
        <f t="shared" si="5"/>
        <v>0.49425287356321873</v>
      </c>
      <c r="R33" s="36">
        <v>12.51</v>
      </c>
      <c r="S33" s="33">
        <f>VLOOKUP(A33,'[1]Kharif tonnage acres2025'!A32:C1823,3,FALSE)</f>
        <v>265</v>
      </c>
      <c r="T33" s="32" t="s">
        <v>276</v>
      </c>
    </row>
    <row r="34" spans="1:20" ht="16.5" customHeight="1" thickBot="1" x14ac:dyDescent="0.25">
      <c r="A34" s="36">
        <v>1743575791892</v>
      </c>
      <c r="B34" s="36">
        <v>1041</v>
      </c>
      <c r="C34" s="36">
        <v>16.5</v>
      </c>
      <c r="D34" s="36">
        <v>4</v>
      </c>
      <c r="E34" s="36">
        <v>14.5</v>
      </c>
      <c r="F34" s="36">
        <v>2</v>
      </c>
      <c r="G34" s="36">
        <v>0.41</v>
      </c>
      <c r="H34" s="36">
        <v>0.36</v>
      </c>
      <c r="I34" s="36">
        <v>0.05</v>
      </c>
      <c r="J34" s="36">
        <f>G34</f>
        <v>0.41</v>
      </c>
      <c r="K34" s="36">
        <f>H34</f>
        <v>0.36</v>
      </c>
      <c r="L34" s="36">
        <f t="shared" si="0"/>
        <v>4.9999999999999989E-2</v>
      </c>
      <c r="M34" s="34">
        <f t="shared" si="1"/>
        <v>0.13888888888888887</v>
      </c>
      <c r="N34" s="35">
        <f t="shared" si="2"/>
        <v>16.592109599999997</v>
      </c>
      <c r="O34" s="35">
        <f t="shared" si="3"/>
        <v>14.568681599999998</v>
      </c>
      <c r="P34" s="33">
        <f t="shared" si="4"/>
        <v>2.0234279999999991</v>
      </c>
      <c r="Q34" s="34">
        <f t="shared" si="5"/>
        <v>0.13888888888888884</v>
      </c>
      <c r="R34" s="36">
        <v>4.4400000000000004</v>
      </c>
      <c r="S34" s="33">
        <f>VLOOKUP(A34,'[1]Kharif tonnage acres2025'!A33:C1824,3,FALSE)</f>
        <v>12.34</v>
      </c>
      <c r="T34" s="32" t="s">
        <v>277</v>
      </c>
    </row>
    <row r="35" spans="1:20" ht="16.5" customHeight="1" thickBot="1" x14ac:dyDescent="0.25">
      <c r="A35" s="36">
        <v>1744868280333</v>
      </c>
      <c r="B35" s="36">
        <v>939</v>
      </c>
      <c r="C35" s="36">
        <v>16</v>
      </c>
      <c r="D35" s="36">
        <v>4</v>
      </c>
      <c r="E35" s="36">
        <v>15</v>
      </c>
      <c r="F35" s="36">
        <v>1</v>
      </c>
      <c r="G35" s="36">
        <v>0.4</v>
      </c>
      <c r="H35" s="36">
        <v>0.38</v>
      </c>
      <c r="I35" s="36">
        <v>0.02</v>
      </c>
      <c r="J35" s="36">
        <f>G35</f>
        <v>0.4</v>
      </c>
      <c r="K35" s="36">
        <f>H35</f>
        <v>0.38</v>
      </c>
      <c r="L35" s="36">
        <f t="shared" si="0"/>
        <v>2.0000000000000018E-2</v>
      </c>
      <c r="M35" s="34">
        <f t="shared" si="1"/>
        <v>5.2631578947368467E-2</v>
      </c>
      <c r="N35" s="35">
        <f t="shared" si="2"/>
        <v>16.187424</v>
      </c>
      <c r="O35" s="35">
        <f t="shared" si="3"/>
        <v>15.378052799999999</v>
      </c>
      <c r="P35" s="33">
        <f t="shared" si="4"/>
        <v>0.80937120000000107</v>
      </c>
      <c r="Q35" s="34">
        <f t="shared" si="5"/>
        <v>5.2631578947368494E-2</v>
      </c>
      <c r="R35" s="36">
        <v>7.63</v>
      </c>
      <c r="S35" s="33">
        <f>VLOOKUP(A35,'[1]Kharif tonnage acres2025'!A34:C1825,3,FALSE)</f>
        <v>19.38</v>
      </c>
      <c r="T35" s="32" t="s">
        <v>278</v>
      </c>
    </row>
    <row r="36" spans="1:20" ht="16.5" customHeight="1" thickBot="1" x14ac:dyDescent="0.25">
      <c r="A36" s="36">
        <v>1728631791144</v>
      </c>
      <c r="B36" s="36">
        <v>107</v>
      </c>
      <c r="C36" s="36">
        <v>14.36</v>
      </c>
      <c r="D36" s="36">
        <v>1</v>
      </c>
      <c r="E36" s="36">
        <v>11.57</v>
      </c>
      <c r="F36" s="36">
        <v>2.79</v>
      </c>
      <c r="G36" s="36">
        <v>1.06</v>
      </c>
      <c r="H36" s="36">
        <v>0.85</v>
      </c>
      <c r="I36" s="36">
        <v>0.21</v>
      </c>
      <c r="J36" s="37">
        <f>G36/3</f>
        <v>0.35333333333333333</v>
      </c>
      <c r="K36" s="37">
        <f>H36/3</f>
        <v>0.28333333333333333</v>
      </c>
      <c r="L36" s="37">
        <f t="shared" si="0"/>
        <v>7.0000000000000007E-2</v>
      </c>
      <c r="M36" s="34">
        <f t="shared" si="1"/>
        <v>0.2470588235294118</v>
      </c>
      <c r="N36" s="35">
        <f t="shared" si="2"/>
        <v>14.298891199999998</v>
      </c>
      <c r="O36" s="35">
        <f t="shared" si="3"/>
        <v>11.466091999999998</v>
      </c>
      <c r="P36" s="33">
        <f t="shared" si="4"/>
        <v>2.8327992000000002</v>
      </c>
      <c r="Q36" s="34">
        <f t="shared" si="5"/>
        <v>0.24705882352941183</v>
      </c>
      <c r="R36" s="36">
        <v>9.44</v>
      </c>
      <c r="S36" s="33">
        <f>VLOOKUP(A36,'[1]Kharif tonnage acres2025'!A35:C1826,3,FALSE)</f>
        <v>100</v>
      </c>
      <c r="T36" s="32" t="s">
        <v>279</v>
      </c>
    </row>
    <row r="37" spans="1:20" ht="16.5" customHeight="1" thickBot="1" x14ac:dyDescent="0.25">
      <c r="A37" s="36">
        <v>1744782908107</v>
      </c>
      <c r="B37" s="36">
        <v>939</v>
      </c>
      <c r="C37" s="36">
        <v>16.5</v>
      </c>
      <c r="D37" s="36">
        <v>4</v>
      </c>
      <c r="E37" s="36">
        <v>14.5</v>
      </c>
      <c r="F37" s="36">
        <v>2</v>
      </c>
      <c r="G37" s="36">
        <v>0.41</v>
      </c>
      <c r="H37" s="36">
        <v>0.36</v>
      </c>
      <c r="I37" s="36">
        <v>0.05</v>
      </c>
      <c r="J37" s="36">
        <f t="shared" ref="J37:K41" si="9">G37</f>
        <v>0.41</v>
      </c>
      <c r="K37" s="36">
        <f t="shared" si="9"/>
        <v>0.36</v>
      </c>
      <c r="L37" s="36">
        <f t="shared" si="0"/>
        <v>4.9999999999999989E-2</v>
      </c>
      <c r="M37" s="34">
        <f t="shared" si="1"/>
        <v>0.13888888888888887</v>
      </c>
      <c r="N37" s="35">
        <f t="shared" si="2"/>
        <v>16.592109599999997</v>
      </c>
      <c r="O37" s="35">
        <f t="shared" si="3"/>
        <v>14.568681599999998</v>
      </c>
      <c r="P37" s="33">
        <f t="shared" si="4"/>
        <v>2.0234279999999991</v>
      </c>
      <c r="Q37" s="34">
        <f t="shared" si="5"/>
        <v>0.13888888888888884</v>
      </c>
      <c r="R37" s="36">
        <v>4.8099999999999996</v>
      </c>
      <c r="S37" s="33">
        <f>VLOOKUP(A37,'[1]Kharif tonnage acres2025'!A36:C1827,3,FALSE)</f>
        <v>8.07</v>
      </c>
      <c r="T37" s="32" t="s">
        <v>280</v>
      </c>
    </row>
    <row r="38" spans="1:20" ht="16.5" customHeight="1" thickBot="1" x14ac:dyDescent="0.25">
      <c r="A38" s="36">
        <v>1746189360599</v>
      </c>
      <c r="B38" s="36">
        <v>939</v>
      </c>
      <c r="C38" s="36">
        <v>18</v>
      </c>
      <c r="D38" s="36">
        <v>4</v>
      </c>
      <c r="E38" s="36">
        <v>16</v>
      </c>
      <c r="F38" s="36">
        <v>2</v>
      </c>
      <c r="G38" s="36">
        <v>0.44</v>
      </c>
      <c r="H38" s="36">
        <v>0.39</v>
      </c>
      <c r="I38" s="36">
        <v>0.05</v>
      </c>
      <c r="J38" s="36">
        <f t="shared" si="9"/>
        <v>0.44</v>
      </c>
      <c r="K38" s="36">
        <f t="shared" si="9"/>
        <v>0.39</v>
      </c>
      <c r="L38" s="36">
        <f t="shared" si="0"/>
        <v>4.9999999999999989E-2</v>
      </c>
      <c r="M38" s="34">
        <f t="shared" si="1"/>
        <v>0.12820512820512817</v>
      </c>
      <c r="N38" s="35">
        <f t="shared" si="2"/>
        <v>17.806166399999999</v>
      </c>
      <c r="O38" s="35">
        <f t="shared" si="3"/>
        <v>15.7827384</v>
      </c>
      <c r="P38" s="33">
        <f t="shared" si="4"/>
        <v>2.0234279999999991</v>
      </c>
      <c r="Q38" s="34">
        <f t="shared" si="5"/>
        <v>0.12820512820512817</v>
      </c>
      <c r="R38" s="36">
        <v>8.36</v>
      </c>
      <c r="S38" s="33">
        <f>VLOOKUP(A38,'[1]Kharif tonnage acres2025'!A37:C1828,3,FALSE)</f>
        <v>6.83</v>
      </c>
      <c r="T38" s="32" t="s">
        <v>281</v>
      </c>
    </row>
    <row r="39" spans="1:20" ht="16.5" customHeight="1" thickBot="1" x14ac:dyDescent="0.25">
      <c r="A39" s="36">
        <v>1745396907192</v>
      </c>
      <c r="B39" s="36">
        <v>939</v>
      </c>
      <c r="C39" s="36">
        <v>16.25</v>
      </c>
      <c r="D39" s="36">
        <v>4</v>
      </c>
      <c r="E39" s="36">
        <v>15</v>
      </c>
      <c r="F39" s="36">
        <v>1.25</v>
      </c>
      <c r="G39" s="36">
        <v>0.4</v>
      </c>
      <c r="H39" s="36">
        <v>0.37</v>
      </c>
      <c r="I39" s="36">
        <v>0.03</v>
      </c>
      <c r="J39" s="36">
        <f t="shared" si="9"/>
        <v>0.4</v>
      </c>
      <c r="K39" s="36">
        <f t="shared" si="9"/>
        <v>0.37</v>
      </c>
      <c r="L39" s="36">
        <f t="shared" si="0"/>
        <v>3.0000000000000027E-2</v>
      </c>
      <c r="M39" s="34">
        <f t="shared" si="1"/>
        <v>8.1081081081081155E-2</v>
      </c>
      <c r="N39" s="35">
        <f t="shared" si="2"/>
        <v>16.187424</v>
      </c>
      <c r="O39" s="35">
        <f t="shared" si="3"/>
        <v>14.973367199999998</v>
      </c>
      <c r="P39" s="33">
        <f t="shared" si="4"/>
        <v>1.2140568000000016</v>
      </c>
      <c r="Q39" s="34">
        <f t="shared" si="5"/>
        <v>8.1081081081081197E-2</v>
      </c>
      <c r="R39" s="36">
        <v>8.74</v>
      </c>
      <c r="S39" s="33">
        <f>VLOOKUP(A39,'[1]Kharif tonnage acres2025'!A38:C1829,3,FALSE)</f>
        <v>5.03</v>
      </c>
      <c r="T39" s="32" t="s">
        <v>282</v>
      </c>
    </row>
    <row r="40" spans="1:20" ht="16.5" customHeight="1" thickBot="1" x14ac:dyDescent="0.25">
      <c r="A40" s="36">
        <v>1748585169654</v>
      </c>
      <c r="B40" s="36">
        <v>769</v>
      </c>
      <c r="C40" s="36">
        <v>14.9</v>
      </c>
      <c r="D40" s="36">
        <v>2</v>
      </c>
      <c r="E40" s="36">
        <v>14.1</v>
      </c>
      <c r="F40" s="36">
        <v>0.8</v>
      </c>
      <c r="G40" s="36">
        <v>0.37</v>
      </c>
      <c r="H40" s="36">
        <v>0.35</v>
      </c>
      <c r="I40" s="36">
        <v>0.02</v>
      </c>
      <c r="J40" s="36">
        <f t="shared" si="9"/>
        <v>0.37</v>
      </c>
      <c r="K40" s="36">
        <f t="shared" si="9"/>
        <v>0.35</v>
      </c>
      <c r="L40" s="36">
        <f t="shared" si="0"/>
        <v>2.0000000000000018E-2</v>
      </c>
      <c r="M40" s="34">
        <f t="shared" si="1"/>
        <v>5.7142857142857197E-2</v>
      </c>
      <c r="N40" s="35">
        <f t="shared" si="2"/>
        <v>14.973367199999998</v>
      </c>
      <c r="O40" s="35">
        <f t="shared" si="3"/>
        <v>14.163995999999997</v>
      </c>
      <c r="P40" s="33">
        <f t="shared" si="4"/>
        <v>0.80937120000000107</v>
      </c>
      <c r="Q40" s="34">
        <f t="shared" si="5"/>
        <v>5.7142857142857231E-2</v>
      </c>
      <c r="R40" s="36">
        <v>12.07</v>
      </c>
      <c r="S40" s="33">
        <f>VLOOKUP(A40,'[1]Kharif tonnage acres2025'!A39:C1830,3,FALSE)</f>
        <v>65</v>
      </c>
      <c r="T40" s="32" t="s">
        <v>283</v>
      </c>
    </row>
    <row r="41" spans="1:20" ht="16.5" customHeight="1" thickBot="1" x14ac:dyDescent="0.25">
      <c r="A41" s="36">
        <v>1748314903144</v>
      </c>
      <c r="B41" s="36">
        <v>769</v>
      </c>
      <c r="C41" s="36">
        <v>15.7</v>
      </c>
      <c r="D41" s="36">
        <v>2</v>
      </c>
      <c r="E41" s="36">
        <v>8</v>
      </c>
      <c r="F41" s="36">
        <v>7.7</v>
      </c>
      <c r="G41" s="36">
        <v>0.39</v>
      </c>
      <c r="H41" s="36">
        <v>0.2</v>
      </c>
      <c r="I41" s="36">
        <v>0.19</v>
      </c>
      <c r="J41" s="36">
        <f t="shared" si="9"/>
        <v>0.39</v>
      </c>
      <c r="K41" s="36">
        <f t="shared" si="9"/>
        <v>0.2</v>
      </c>
      <c r="L41" s="36">
        <f t="shared" si="0"/>
        <v>0.19</v>
      </c>
      <c r="M41" s="34">
        <f t="shared" si="1"/>
        <v>0.95</v>
      </c>
      <c r="N41" s="35">
        <f t="shared" si="2"/>
        <v>15.7827384</v>
      </c>
      <c r="O41" s="35">
        <f t="shared" si="3"/>
        <v>8.093712</v>
      </c>
      <c r="P41" s="33">
        <f t="shared" si="4"/>
        <v>7.6890263999999995</v>
      </c>
      <c r="Q41" s="34">
        <f t="shared" si="5"/>
        <v>0.95</v>
      </c>
      <c r="R41" s="36">
        <v>11.76</v>
      </c>
      <c r="S41" s="33">
        <f>VLOOKUP(A41,'[1]Kharif tonnage acres2025'!A40:C1831,3,FALSE)</f>
        <v>30</v>
      </c>
      <c r="T41" s="32" t="s">
        <v>284</v>
      </c>
    </row>
    <row r="42" spans="1:20" ht="16.5" customHeight="1" thickBot="1" x14ac:dyDescent="0.25">
      <c r="A42" s="36">
        <v>995</v>
      </c>
      <c r="B42" s="36">
        <v>739</v>
      </c>
      <c r="C42" s="36">
        <v>19.82</v>
      </c>
      <c r="D42" s="36">
        <v>1</v>
      </c>
      <c r="E42" s="36">
        <v>13.67</v>
      </c>
      <c r="F42" s="36">
        <v>6.15</v>
      </c>
      <c r="G42" s="36">
        <v>1.47</v>
      </c>
      <c r="H42" s="36">
        <v>1.01</v>
      </c>
      <c r="I42" s="36">
        <v>0.46</v>
      </c>
      <c r="J42" s="37">
        <f>G42/3</f>
        <v>0.49</v>
      </c>
      <c r="K42" s="37">
        <f>H42/3</f>
        <v>0.33666666666666667</v>
      </c>
      <c r="L42" s="37">
        <f t="shared" si="0"/>
        <v>0.15333333333333332</v>
      </c>
      <c r="M42" s="34">
        <f t="shared" si="1"/>
        <v>0.45544554455445541</v>
      </c>
      <c r="N42" s="35">
        <f t="shared" si="2"/>
        <v>19.829594399999998</v>
      </c>
      <c r="O42" s="35">
        <f t="shared" si="3"/>
        <v>13.6244152</v>
      </c>
      <c r="P42" s="33">
        <f t="shared" si="4"/>
        <v>6.2051791999999981</v>
      </c>
      <c r="Q42" s="34">
        <f t="shared" si="5"/>
        <v>0.45544554455445529</v>
      </c>
      <c r="R42" s="36">
        <v>11.49</v>
      </c>
      <c r="S42" s="33">
        <f>VLOOKUP(A42,'[1]Kharif tonnage acres2025'!A41:C1832,3,FALSE)</f>
        <v>280</v>
      </c>
      <c r="T42" s="32" t="s">
        <v>285</v>
      </c>
    </row>
    <row r="43" spans="1:20" ht="16.5" customHeight="1" thickBot="1" x14ac:dyDescent="0.25">
      <c r="A43" s="36">
        <v>1749790371099</v>
      </c>
      <c r="B43" s="36">
        <v>785</v>
      </c>
      <c r="C43" s="36">
        <v>14.4</v>
      </c>
      <c r="D43" s="36">
        <v>2</v>
      </c>
      <c r="E43" s="36">
        <v>11</v>
      </c>
      <c r="F43" s="36">
        <v>3.4</v>
      </c>
      <c r="G43" s="36">
        <v>0.35</v>
      </c>
      <c r="H43" s="36">
        <v>0.27</v>
      </c>
      <c r="I43" s="36">
        <v>0.08</v>
      </c>
      <c r="J43" s="36">
        <f t="shared" ref="J43:K46" si="10">G43</f>
        <v>0.35</v>
      </c>
      <c r="K43" s="36">
        <f t="shared" si="10"/>
        <v>0.27</v>
      </c>
      <c r="L43" s="36">
        <f t="shared" si="0"/>
        <v>7.999999999999996E-2</v>
      </c>
      <c r="M43" s="34">
        <f t="shared" si="1"/>
        <v>0.29629629629629611</v>
      </c>
      <c r="N43" s="35">
        <f t="shared" si="2"/>
        <v>14.163995999999997</v>
      </c>
      <c r="O43" s="35">
        <f t="shared" si="3"/>
        <v>10.9265112</v>
      </c>
      <c r="P43" s="33">
        <f t="shared" si="4"/>
        <v>3.2374847999999972</v>
      </c>
      <c r="Q43" s="34">
        <f t="shared" si="5"/>
        <v>0.29629629629629606</v>
      </c>
      <c r="R43" s="36">
        <v>7.8</v>
      </c>
      <c r="S43" s="33">
        <f>VLOOKUP(A43,'[1]Kharif tonnage acres2025'!A42:C1833,3,FALSE)</f>
        <v>155</v>
      </c>
      <c r="T43" s="32" t="s">
        <v>286</v>
      </c>
    </row>
    <row r="44" spans="1:20" ht="16.5" customHeight="1" thickBot="1" x14ac:dyDescent="0.25">
      <c r="A44" s="36">
        <v>1748846548921</v>
      </c>
      <c r="B44" s="36">
        <v>769</v>
      </c>
      <c r="C44" s="36">
        <v>16</v>
      </c>
      <c r="D44" s="36">
        <v>2</v>
      </c>
      <c r="E44" s="36">
        <v>12</v>
      </c>
      <c r="F44" s="36">
        <v>2</v>
      </c>
      <c r="G44" s="36">
        <v>0.38</v>
      </c>
      <c r="H44" s="36">
        <v>0.28999999999999998</v>
      </c>
      <c r="I44" s="36">
        <v>0.09</v>
      </c>
      <c r="J44" s="36">
        <f t="shared" si="10"/>
        <v>0.38</v>
      </c>
      <c r="K44" s="36">
        <f t="shared" si="10"/>
        <v>0.28999999999999998</v>
      </c>
      <c r="L44" s="36">
        <f t="shared" si="0"/>
        <v>9.0000000000000024E-2</v>
      </c>
      <c r="M44" s="34">
        <f t="shared" si="1"/>
        <v>0.31034482758620702</v>
      </c>
      <c r="N44" s="35">
        <f t="shared" si="2"/>
        <v>15.378052799999999</v>
      </c>
      <c r="O44" s="35">
        <f t="shared" si="3"/>
        <v>11.735882399999998</v>
      </c>
      <c r="P44" s="33">
        <f t="shared" si="4"/>
        <v>3.6421704000000013</v>
      </c>
      <c r="Q44" s="34">
        <f t="shared" si="5"/>
        <v>0.31034482758620707</v>
      </c>
      <c r="R44" s="33">
        <f>VLOOKUP(A44,'[1]Kharif tonnage acres2025'!A44:C1834,2,FALSE)</f>
        <v>2.35</v>
      </c>
      <c r="S44" s="33">
        <f>VLOOKUP(A44,'[1]Kharif tonnage acres2025'!A43:C1834,3,FALSE)</f>
        <v>25</v>
      </c>
      <c r="T44" s="32" t="s">
        <v>287</v>
      </c>
    </row>
    <row r="45" spans="1:20" ht="16.5" customHeight="1" thickBot="1" x14ac:dyDescent="0.25">
      <c r="A45" s="36">
        <v>1749192812519</v>
      </c>
      <c r="B45" s="36">
        <v>769</v>
      </c>
      <c r="C45" s="36">
        <v>14.5</v>
      </c>
      <c r="D45" s="36">
        <v>2</v>
      </c>
      <c r="E45" s="36">
        <v>14.1</v>
      </c>
      <c r="F45" s="36">
        <v>0.4</v>
      </c>
      <c r="G45" s="36">
        <v>0.36</v>
      </c>
      <c r="H45" s="36">
        <v>0.35</v>
      </c>
      <c r="I45" s="36">
        <v>0.01</v>
      </c>
      <c r="J45" s="36">
        <f t="shared" si="10"/>
        <v>0.36</v>
      </c>
      <c r="K45" s="36">
        <f t="shared" si="10"/>
        <v>0.35</v>
      </c>
      <c r="L45" s="36">
        <f t="shared" si="0"/>
        <v>1.0000000000000009E-2</v>
      </c>
      <c r="M45" s="34">
        <f t="shared" si="1"/>
        <v>2.8571428571428598E-2</v>
      </c>
      <c r="N45" s="35">
        <f t="shared" si="2"/>
        <v>14.568681599999998</v>
      </c>
      <c r="O45" s="35">
        <f t="shared" si="3"/>
        <v>14.163995999999997</v>
      </c>
      <c r="P45" s="33">
        <f t="shared" si="4"/>
        <v>0.40468560000000053</v>
      </c>
      <c r="Q45" s="34">
        <f t="shared" si="5"/>
        <v>2.8571428571428616E-2</v>
      </c>
      <c r="R45" s="33">
        <f>VLOOKUP(A45,'[1]Kharif tonnage acres2025'!A45:C1835,2,FALSE)</f>
        <v>1.03</v>
      </c>
      <c r="S45" s="33">
        <f>VLOOKUP(A45,'[1]Kharif tonnage acres2025'!A44:C1835,3,FALSE)</f>
        <v>10</v>
      </c>
      <c r="T45" s="32" t="s">
        <v>288</v>
      </c>
    </row>
    <row r="46" spans="1:20" ht="16.5" customHeight="1" thickBot="1" x14ac:dyDescent="0.25">
      <c r="A46" s="36">
        <v>1748670377873</v>
      </c>
      <c r="B46" s="36">
        <v>769</v>
      </c>
      <c r="C46" s="36">
        <v>19.399999999999999</v>
      </c>
      <c r="D46" s="36">
        <v>2</v>
      </c>
      <c r="E46" s="36">
        <v>12.1</v>
      </c>
      <c r="F46" s="36">
        <v>7.3</v>
      </c>
      <c r="G46" s="36">
        <v>0.48</v>
      </c>
      <c r="H46" s="36">
        <v>0.3</v>
      </c>
      <c r="I46" s="36">
        <v>0.18</v>
      </c>
      <c r="J46" s="36">
        <f t="shared" si="10"/>
        <v>0.48</v>
      </c>
      <c r="K46" s="36">
        <f t="shared" si="10"/>
        <v>0.3</v>
      </c>
      <c r="L46" s="36">
        <f t="shared" si="0"/>
        <v>0.18</v>
      </c>
      <c r="M46" s="34">
        <f t="shared" si="1"/>
        <v>0.6</v>
      </c>
      <c r="N46" s="35">
        <f t="shared" si="2"/>
        <v>19.424908799999997</v>
      </c>
      <c r="O46" s="35">
        <f t="shared" si="3"/>
        <v>12.140567999999998</v>
      </c>
      <c r="P46" s="33">
        <f t="shared" si="4"/>
        <v>7.2843407999999989</v>
      </c>
      <c r="Q46" s="34">
        <f t="shared" si="5"/>
        <v>0.6</v>
      </c>
      <c r="R46" s="33">
        <f>VLOOKUP(A46,'[1]Kharif tonnage acres2025'!A46:C1836,2,FALSE)</f>
        <v>2</v>
      </c>
      <c r="S46" s="33">
        <f>VLOOKUP(A46,'[1]Kharif tonnage acres2025'!A45:C1836,3,FALSE)</f>
        <v>20</v>
      </c>
      <c r="T46" s="32" t="s">
        <v>289</v>
      </c>
    </row>
    <row r="47" spans="1:20" ht="16.5" customHeight="1" thickBot="1" x14ac:dyDescent="0.25">
      <c r="A47" s="38">
        <v>1747203969407</v>
      </c>
      <c r="B47" s="36">
        <v>1133</v>
      </c>
      <c r="C47" s="36">
        <v>23</v>
      </c>
      <c r="D47" s="36">
        <v>14</v>
      </c>
      <c r="E47" s="36">
        <v>21</v>
      </c>
      <c r="F47" s="36">
        <v>5</v>
      </c>
      <c r="G47" s="36">
        <v>2.2200000000000002</v>
      </c>
      <c r="H47" s="36">
        <v>1.28</v>
      </c>
      <c r="I47" s="36">
        <v>0.94</v>
      </c>
      <c r="J47" s="36">
        <f t="shared" ref="J47:K51" si="11">G47/3</f>
        <v>0.7400000000000001</v>
      </c>
      <c r="K47" s="36">
        <f t="shared" si="11"/>
        <v>0.42666666666666669</v>
      </c>
      <c r="L47" s="36">
        <f t="shared" si="0"/>
        <v>0.31333333333333341</v>
      </c>
      <c r="M47" s="34">
        <f t="shared" si="1"/>
        <v>0.73437500000000011</v>
      </c>
      <c r="N47" s="35">
        <f t="shared" si="2"/>
        <v>29.9467344</v>
      </c>
      <c r="O47" s="35">
        <f t="shared" si="3"/>
        <v>17.266585599999999</v>
      </c>
      <c r="P47" s="33">
        <f t="shared" si="4"/>
        <v>12.680148800000001</v>
      </c>
      <c r="Q47" s="34">
        <f t="shared" si="5"/>
        <v>0.73437500000000011</v>
      </c>
      <c r="R47" s="33">
        <v>10.56</v>
      </c>
      <c r="S47" s="33">
        <v>110</v>
      </c>
      <c r="T47" s="32" t="s">
        <v>290</v>
      </c>
    </row>
    <row r="48" spans="1:20" ht="16.5" customHeight="1" thickBot="1" x14ac:dyDescent="0.25">
      <c r="A48" s="36">
        <v>998</v>
      </c>
      <c r="B48" s="36">
        <v>739</v>
      </c>
      <c r="C48" s="36">
        <v>14.88</v>
      </c>
      <c r="D48" s="36">
        <v>1</v>
      </c>
      <c r="E48" s="36">
        <v>11.61</v>
      </c>
      <c r="F48" s="36">
        <v>3.27</v>
      </c>
      <c r="G48" s="36">
        <v>1.1000000000000001</v>
      </c>
      <c r="H48" s="36">
        <v>0.86</v>
      </c>
      <c r="I48" s="36">
        <v>0.24</v>
      </c>
      <c r="J48" s="37">
        <f t="shared" si="11"/>
        <v>0.3666666666666667</v>
      </c>
      <c r="K48" s="37">
        <f t="shared" si="11"/>
        <v>0.28666666666666668</v>
      </c>
      <c r="L48" s="37">
        <f t="shared" si="0"/>
        <v>8.0000000000000016E-2</v>
      </c>
      <c r="M48" s="34">
        <f t="shared" si="1"/>
        <v>0.27906976744186052</v>
      </c>
      <c r="N48" s="35">
        <f t="shared" si="2"/>
        <v>14.838471999999999</v>
      </c>
      <c r="O48" s="35">
        <f t="shared" si="3"/>
        <v>11.600987199999999</v>
      </c>
      <c r="P48" s="33">
        <f t="shared" si="4"/>
        <v>3.2374848000000007</v>
      </c>
      <c r="Q48" s="34">
        <f t="shared" si="5"/>
        <v>0.27906976744186057</v>
      </c>
      <c r="R48" s="33">
        <f>VLOOKUP(A48,'[1]Kharif tonnage acres2025'!A48:C1838,2,FALSE)</f>
        <v>23.79</v>
      </c>
      <c r="S48" s="33">
        <f>VLOOKUP(A48,'[1]Kharif tonnage acres2025'!A47:C1838,3,FALSE)</f>
        <v>255</v>
      </c>
      <c r="T48" s="32" t="s">
        <v>291</v>
      </c>
    </row>
    <row r="49" spans="1:20" ht="16.5" customHeight="1" thickBot="1" x14ac:dyDescent="0.25">
      <c r="A49" s="36">
        <v>1917</v>
      </c>
      <c r="B49" s="36">
        <v>739</v>
      </c>
      <c r="C49" s="36">
        <v>14.36</v>
      </c>
      <c r="D49" s="36">
        <v>1</v>
      </c>
      <c r="E49" s="36">
        <v>11.57</v>
      </c>
      <c r="F49" s="36">
        <v>2.79</v>
      </c>
      <c r="G49" s="36">
        <v>1.06</v>
      </c>
      <c r="H49" s="36">
        <v>0.85</v>
      </c>
      <c r="I49" s="36">
        <v>0.21</v>
      </c>
      <c r="J49" s="37">
        <f t="shared" si="11"/>
        <v>0.35333333333333333</v>
      </c>
      <c r="K49" s="37">
        <f t="shared" si="11"/>
        <v>0.28333333333333333</v>
      </c>
      <c r="L49" s="37">
        <f t="shared" si="0"/>
        <v>7.0000000000000007E-2</v>
      </c>
      <c r="M49" s="34">
        <f t="shared" si="1"/>
        <v>0.2470588235294118</v>
      </c>
      <c r="N49" s="35">
        <f t="shared" si="2"/>
        <v>14.298891199999998</v>
      </c>
      <c r="O49" s="35">
        <f t="shared" si="3"/>
        <v>11.466091999999998</v>
      </c>
      <c r="P49" s="33">
        <f t="shared" si="4"/>
        <v>2.8327992000000002</v>
      </c>
      <c r="Q49" s="34">
        <f t="shared" si="5"/>
        <v>0.24705882352941183</v>
      </c>
      <c r="R49" s="33">
        <f>VLOOKUP(A49,'[1]Kharif tonnage acres2025'!A49:C1839,2,FALSE)</f>
        <v>24.39</v>
      </c>
      <c r="S49" s="33">
        <f>VLOOKUP(A49,'[1]Kharif tonnage acres2025'!A48:C1839,3,FALSE)</f>
        <v>240</v>
      </c>
      <c r="T49" s="32" t="s">
        <v>292</v>
      </c>
    </row>
    <row r="50" spans="1:20" ht="16.5" customHeight="1" thickBot="1" x14ac:dyDescent="0.25">
      <c r="A50" s="36">
        <v>1710562995030</v>
      </c>
      <c r="B50" s="36">
        <v>132</v>
      </c>
      <c r="C50" s="36">
        <v>11.73</v>
      </c>
      <c r="D50" s="36">
        <v>1</v>
      </c>
      <c r="E50" s="36">
        <v>8.09</v>
      </c>
      <c r="F50" s="36">
        <v>3.64</v>
      </c>
      <c r="G50" s="36">
        <v>0.87</v>
      </c>
      <c r="H50" s="36">
        <v>0.6</v>
      </c>
      <c r="I50" s="36">
        <v>0.27</v>
      </c>
      <c r="J50" s="37">
        <f t="shared" si="11"/>
        <v>0.28999999999999998</v>
      </c>
      <c r="K50" s="37">
        <f t="shared" si="11"/>
        <v>0.19999999999999998</v>
      </c>
      <c r="L50" s="37">
        <f t="shared" si="0"/>
        <v>0.09</v>
      </c>
      <c r="M50" s="34">
        <f t="shared" si="1"/>
        <v>0.45</v>
      </c>
      <c r="N50" s="35">
        <f t="shared" si="2"/>
        <v>11.735882399999998</v>
      </c>
      <c r="O50" s="35">
        <f t="shared" si="3"/>
        <v>8.0937119999999982</v>
      </c>
      <c r="P50" s="33">
        <f t="shared" si="4"/>
        <v>3.6421703999999995</v>
      </c>
      <c r="Q50" s="34">
        <f t="shared" si="5"/>
        <v>0.45</v>
      </c>
      <c r="R50" s="33">
        <f>VLOOKUP(A50,'[1]Kharif tonnage acres2025'!A50:C1840,2,FALSE)</f>
        <v>12.43</v>
      </c>
      <c r="S50" s="33">
        <f>VLOOKUP(A50,'[1]Kharif tonnage acres2025'!A49:C1840,3,FALSE)</f>
        <v>130</v>
      </c>
      <c r="T50" s="32" t="s">
        <v>293</v>
      </c>
    </row>
    <row r="51" spans="1:20" ht="16.5" customHeight="1" thickBot="1" x14ac:dyDescent="0.25">
      <c r="A51" s="36">
        <v>1711947865383</v>
      </c>
      <c r="B51" s="36">
        <v>739</v>
      </c>
      <c r="C51" s="36">
        <v>15.61</v>
      </c>
      <c r="D51" s="36">
        <v>1</v>
      </c>
      <c r="E51" s="36">
        <v>12.74</v>
      </c>
      <c r="F51" s="36">
        <v>2.87</v>
      </c>
      <c r="G51" s="36">
        <v>1.1499999999999999</v>
      </c>
      <c r="H51" s="36">
        <v>0.94</v>
      </c>
      <c r="I51" s="36">
        <v>0.21</v>
      </c>
      <c r="J51" s="37">
        <f t="shared" si="11"/>
        <v>0.3833333333333333</v>
      </c>
      <c r="K51" s="37">
        <f t="shared" si="11"/>
        <v>0.3133333333333333</v>
      </c>
      <c r="L51" s="37">
        <f t="shared" si="0"/>
        <v>7.0000000000000007E-2</v>
      </c>
      <c r="M51" s="34">
        <f t="shared" si="1"/>
        <v>0.22340425531914898</v>
      </c>
      <c r="N51" s="35">
        <f t="shared" si="2"/>
        <v>15.512947999999998</v>
      </c>
      <c r="O51" s="35">
        <f t="shared" si="3"/>
        <v>12.680148799999998</v>
      </c>
      <c r="P51" s="33">
        <f t="shared" si="4"/>
        <v>2.8327992000000002</v>
      </c>
      <c r="Q51" s="34">
        <f t="shared" si="5"/>
        <v>0.22340425531914898</v>
      </c>
      <c r="R51" s="33">
        <f>VLOOKUP(A51,'[1]Kharif tonnage acres2025'!A51:C1841,2,FALSE)</f>
        <v>14.35</v>
      </c>
      <c r="S51" s="33">
        <f>VLOOKUP(A51,'[1]Kharif tonnage acres2025'!A50:C1841,3,FALSE)</f>
        <v>150</v>
      </c>
      <c r="T51" s="32" t="s">
        <v>294</v>
      </c>
    </row>
    <row r="52" spans="1:20" ht="16.5" customHeight="1" thickBot="1" x14ac:dyDescent="0.25">
      <c r="A52" s="38">
        <v>1746880214971</v>
      </c>
      <c r="B52" s="36">
        <v>1094</v>
      </c>
      <c r="C52" s="36">
        <v>22.25</v>
      </c>
      <c r="D52" s="36">
        <v>13</v>
      </c>
      <c r="E52" s="36">
        <v>19.02</v>
      </c>
      <c r="F52" s="36">
        <v>3.23</v>
      </c>
      <c r="G52" s="36">
        <v>0.55000000000000004</v>
      </c>
      <c r="H52" s="36">
        <v>0.47</v>
      </c>
      <c r="I52" s="36">
        <v>0.08</v>
      </c>
      <c r="J52" s="36">
        <f t="shared" ref="J52:K55" si="12">G52</f>
        <v>0.55000000000000004</v>
      </c>
      <c r="K52" s="36">
        <f t="shared" si="12"/>
        <v>0.47</v>
      </c>
      <c r="L52" s="36">
        <f t="shared" si="0"/>
        <v>8.0000000000000071E-2</v>
      </c>
      <c r="M52" s="34">
        <f t="shared" si="1"/>
        <v>0.17021276595744697</v>
      </c>
      <c r="N52" s="35">
        <f t="shared" si="2"/>
        <v>22.257708000000001</v>
      </c>
      <c r="O52" s="35">
        <f t="shared" si="3"/>
        <v>19.020223199999997</v>
      </c>
      <c r="P52" s="33">
        <f t="shared" si="4"/>
        <v>3.2374848000000043</v>
      </c>
      <c r="Q52" s="34">
        <f t="shared" si="5"/>
        <v>0.17021276595744705</v>
      </c>
      <c r="R52" s="33">
        <v>11.58</v>
      </c>
      <c r="S52" s="33">
        <v>120</v>
      </c>
      <c r="T52" s="32" t="s">
        <v>295</v>
      </c>
    </row>
    <row r="53" spans="1:20" ht="16.5" customHeight="1" thickBot="1" x14ac:dyDescent="0.25">
      <c r="A53" s="36">
        <v>1748347278714</v>
      </c>
      <c r="B53" s="36">
        <v>769</v>
      </c>
      <c r="C53" s="36">
        <v>10.52</v>
      </c>
      <c r="D53" s="36">
        <v>2</v>
      </c>
      <c r="E53" s="36">
        <v>14.16</v>
      </c>
      <c r="F53" s="36">
        <v>3.64</v>
      </c>
      <c r="G53" s="36">
        <v>0.26</v>
      </c>
      <c r="H53" s="36">
        <v>0.35</v>
      </c>
      <c r="I53" s="36">
        <v>0.09</v>
      </c>
      <c r="J53" s="36">
        <f t="shared" si="12"/>
        <v>0.26</v>
      </c>
      <c r="K53" s="36">
        <f t="shared" si="12"/>
        <v>0.35</v>
      </c>
      <c r="L53" s="36">
        <f t="shared" si="0"/>
        <v>-8.9999999999999969E-2</v>
      </c>
      <c r="M53" s="34">
        <f t="shared" si="1"/>
        <v>-0.25714285714285706</v>
      </c>
      <c r="N53" s="35">
        <f t="shared" si="2"/>
        <v>10.5218256</v>
      </c>
      <c r="O53" s="35">
        <f t="shared" si="3"/>
        <v>14.163995999999997</v>
      </c>
      <c r="P53" s="33">
        <f t="shared" si="4"/>
        <v>-3.6421703999999977</v>
      </c>
      <c r="Q53" s="34">
        <f t="shared" si="5"/>
        <v>-0.25714285714285701</v>
      </c>
      <c r="R53" s="33">
        <f>VLOOKUP(A53,'[1]Kharif tonnage acres2025'!A53:C1843,2,FALSE)</f>
        <v>6.15</v>
      </c>
      <c r="S53" s="33">
        <f>VLOOKUP(A53,'[1]Kharif tonnage acres2025'!A52:C1843,3,FALSE)</f>
        <v>65</v>
      </c>
      <c r="T53" s="32" t="s">
        <v>296</v>
      </c>
    </row>
    <row r="54" spans="1:20" ht="16.5" customHeight="1" thickBot="1" x14ac:dyDescent="0.25">
      <c r="A54" s="38">
        <v>1744618146912</v>
      </c>
      <c r="B54" s="36">
        <v>1094</v>
      </c>
      <c r="C54" s="36">
        <v>16.59</v>
      </c>
      <c r="D54" s="36">
        <v>13</v>
      </c>
      <c r="E54" s="36">
        <v>12.94</v>
      </c>
      <c r="F54" s="36">
        <v>3.65</v>
      </c>
      <c r="G54" s="36">
        <v>0.41</v>
      </c>
      <c r="H54" s="36">
        <v>0.32</v>
      </c>
      <c r="I54" s="36">
        <v>0.9</v>
      </c>
      <c r="J54" s="36">
        <f t="shared" si="12"/>
        <v>0.41</v>
      </c>
      <c r="K54" s="36">
        <f t="shared" si="12"/>
        <v>0.32</v>
      </c>
      <c r="L54" s="36">
        <f t="shared" si="0"/>
        <v>8.9999999999999969E-2</v>
      </c>
      <c r="M54" s="34">
        <f t="shared" si="1"/>
        <v>0.28124999999999989</v>
      </c>
      <c r="N54" s="35">
        <f t="shared" si="2"/>
        <v>16.592109599999997</v>
      </c>
      <c r="O54" s="35">
        <f t="shared" si="3"/>
        <v>12.949939199999999</v>
      </c>
      <c r="P54" s="33">
        <f t="shared" si="4"/>
        <v>3.6421703999999977</v>
      </c>
      <c r="Q54" s="34">
        <f t="shared" si="5"/>
        <v>0.28124999999999983</v>
      </c>
      <c r="R54" s="33">
        <v>12.51</v>
      </c>
      <c r="S54" s="33">
        <v>120</v>
      </c>
      <c r="T54" s="32" t="s">
        <v>297</v>
      </c>
    </row>
    <row r="55" spans="1:20" ht="16.5" customHeight="1" thickBot="1" x14ac:dyDescent="0.25">
      <c r="A55" s="36">
        <v>1748849840379</v>
      </c>
      <c r="B55" s="36">
        <v>769</v>
      </c>
      <c r="C55" s="36">
        <v>12.54</v>
      </c>
      <c r="D55" s="36">
        <v>2</v>
      </c>
      <c r="E55" s="36">
        <v>9.3000000000000007</v>
      </c>
      <c r="F55" s="36">
        <v>3.24</v>
      </c>
      <c r="G55" s="36">
        <v>0.31</v>
      </c>
      <c r="H55" s="36">
        <v>0.23</v>
      </c>
      <c r="I55" s="36">
        <v>0.08</v>
      </c>
      <c r="J55" s="36">
        <f t="shared" si="12"/>
        <v>0.31</v>
      </c>
      <c r="K55" s="36">
        <f t="shared" si="12"/>
        <v>0.23</v>
      </c>
      <c r="L55" s="36">
        <f t="shared" si="0"/>
        <v>7.9999999999999988E-2</v>
      </c>
      <c r="M55" s="34">
        <f t="shared" si="1"/>
        <v>0.34782608695652167</v>
      </c>
      <c r="N55" s="35">
        <f t="shared" si="2"/>
        <v>12.545253599999999</v>
      </c>
      <c r="O55" s="35">
        <f t="shared" si="3"/>
        <v>9.3077687999999998</v>
      </c>
      <c r="P55" s="33">
        <f t="shared" si="4"/>
        <v>3.2374847999999989</v>
      </c>
      <c r="Q55" s="34">
        <f t="shared" si="5"/>
        <v>0.34782608695652162</v>
      </c>
      <c r="R55" s="33">
        <f>VLOOKUP(A55,'[1]Kharif tonnage acres2025'!A55:C1845,2,FALSE)</f>
        <v>6.29</v>
      </c>
      <c r="S55" s="33">
        <f>VLOOKUP(A55,'[1]Kharif tonnage acres2025'!A54:C1845,3,FALSE)</f>
        <v>65</v>
      </c>
      <c r="T55" s="32" t="s">
        <v>298</v>
      </c>
    </row>
    <row r="56" spans="1:20" ht="16.5" customHeight="1" thickBot="1" x14ac:dyDescent="0.25">
      <c r="A56" s="36">
        <v>1730695706843</v>
      </c>
      <c r="B56" s="36">
        <v>947</v>
      </c>
      <c r="C56" s="36">
        <v>13.75</v>
      </c>
      <c r="D56" s="36">
        <v>1</v>
      </c>
      <c r="E56" s="36">
        <v>10.92</v>
      </c>
      <c r="F56" s="36">
        <v>2.83</v>
      </c>
      <c r="G56" s="36">
        <v>1.02</v>
      </c>
      <c r="H56" s="36">
        <v>0.81</v>
      </c>
      <c r="I56" s="36">
        <v>0.21</v>
      </c>
      <c r="J56" s="37">
        <f>G56/3</f>
        <v>0.34</v>
      </c>
      <c r="K56" s="37">
        <f>H56/3</f>
        <v>0.27</v>
      </c>
      <c r="L56" s="37">
        <f t="shared" si="0"/>
        <v>7.0000000000000007E-2</v>
      </c>
      <c r="M56" s="34">
        <f t="shared" si="1"/>
        <v>0.25925925925925924</v>
      </c>
      <c r="N56" s="35">
        <f t="shared" si="2"/>
        <v>13.7593104</v>
      </c>
      <c r="O56" s="35">
        <f t="shared" si="3"/>
        <v>10.9265112</v>
      </c>
      <c r="P56" s="33">
        <f t="shared" si="4"/>
        <v>2.8327992000000002</v>
      </c>
      <c r="Q56" s="34">
        <f t="shared" si="5"/>
        <v>0.25925925925925924</v>
      </c>
      <c r="R56" s="33">
        <f>VLOOKUP(A56,'[1]Kharif tonnage acres2025'!A56:C1846,2,FALSE)</f>
        <v>4.93</v>
      </c>
      <c r="S56" s="33">
        <f>VLOOKUP(A56,'[1]Kharif tonnage acres2025'!A55:C1846,3,FALSE)</f>
        <v>90</v>
      </c>
      <c r="T56" s="32" t="s">
        <v>299</v>
      </c>
    </row>
    <row r="57" spans="1:20" ht="16.5" customHeight="1" thickBot="1" x14ac:dyDescent="0.25">
      <c r="A57" s="36">
        <v>1748318530770</v>
      </c>
      <c r="B57" s="36">
        <v>769</v>
      </c>
      <c r="C57" s="36">
        <v>16.5</v>
      </c>
      <c r="D57" s="36">
        <v>2</v>
      </c>
      <c r="E57" s="36">
        <v>10.9</v>
      </c>
      <c r="F57" s="36">
        <v>5.6</v>
      </c>
      <c r="G57" s="36">
        <v>0.41</v>
      </c>
      <c r="H57" s="36">
        <v>0.27</v>
      </c>
      <c r="I57" s="36">
        <v>0.14000000000000001</v>
      </c>
      <c r="J57" s="36">
        <f>G57</f>
        <v>0.41</v>
      </c>
      <c r="K57" s="36">
        <f>H57</f>
        <v>0.27</v>
      </c>
      <c r="L57" s="36">
        <f t="shared" si="0"/>
        <v>0.13999999999999996</v>
      </c>
      <c r="M57" s="34">
        <f t="shared" si="1"/>
        <v>0.51851851851851838</v>
      </c>
      <c r="N57" s="35">
        <f t="shared" si="2"/>
        <v>16.592109599999997</v>
      </c>
      <c r="O57" s="35">
        <f t="shared" si="3"/>
        <v>10.9265112</v>
      </c>
      <c r="P57" s="33">
        <f t="shared" si="4"/>
        <v>5.6655983999999968</v>
      </c>
      <c r="Q57" s="34">
        <f t="shared" si="5"/>
        <v>0.51851851851851827</v>
      </c>
      <c r="R57" s="33">
        <f>VLOOKUP(A57,'[1]Kharif tonnage acres2025'!A57:C1847,2,FALSE)</f>
        <v>10.199999999999999</v>
      </c>
      <c r="S57" s="33">
        <f>VLOOKUP(A57,'[1]Kharif tonnage acres2025'!A56:C1847,3,FALSE)</f>
        <v>105</v>
      </c>
      <c r="T57" s="32" t="s">
        <v>300</v>
      </c>
    </row>
    <row r="58" spans="1:20" ht="16.5" customHeight="1" thickBot="1" x14ac:dyDescent="0.25">
      <c r="A58" s="36">
        <v>1727779013296</v>
      </c>
      <c r="B58" s="36">
        <v>89</v>
      </c>
      <c r="C58" s="36">
        <v>11.32</v>
      </c>
      <c r="D58" s="36">
        <v>1</v>
      </c>
      <c r="E58" s="36">
        <v>9.3800000000000008</v>
      </c>
      <c r="F58" s="36">
        <v>1.94</v>
      </c>
      <c r="G58" s="36">
        <v>0.84</v>
      </c>
      <c r="H58" s="36">
        <v>0.69</v>
      </c>
      <c r="I58" s="36">
        <v>0.15</v>
      </c>
      <c r="J58" s="37">
        <f t="shared" ref="J58:K60" si="13">G58/3</f>
        <v>0.27999999999999997</v>
      </c>
      <c r="K58" s="37">
        <f t="shared" si="13"/>
        <v>0.22999999999999998</v>
      </c>
      <c r="L58" s="37">
        <f t="shared" si="0"/>
        <v>4.9999999999999989E-2</v>
      </c>
      <c r="M58" s="34">
        <f t="shared" si="1"/>
        <v>0.21739130434782605</v>
      </c>
      <c r="N58" s="35">
        <f t="shared" si="2"/>
        <v>11.331196799999997</v>
      </c>
      <c r="O58" s="35">
        <f t="shared" si="3"/>
        <v>9.3077687999999981</v>
      </c>
      <c r="P58" s="33">
        <f t="shared" si="4"/>
        <v>2.0234279999999991</v>
      </c>
      <c r="Q58" s="34">
        <f t="shared" si="5"/>
        <v>0.21739130434782603</v>
      </c>
      <c r="R58" s="33">
        <f>VLOOKUP(A58,'[1]Kharif tonnage acres2025'!A58:C1848,2,FALSE)</f>
        <v>8.6999999999999993</v>
      </c>
      <c r="S58" s="33">
        <f>VLOOKUP(A58,'[1]Kharif tonnage acres2025'!A57:C1848,3,FALSE)</f>
        <v>90</v>
      </c>
      <c r="T58" s="32" t="s">
        <v>301</v>
      </c>
    </row>
    <row r="59" spans="1:20" ht="16.5" customHeight="1" thickBot="1" x14ac:dyDescent="0.25">
      <c r="A59" s="36">
        <v>1747980119989</v>
      </c>
      <c r="B59" s="36">
        <v>182</v>
      </c>
      <c r="C59" s="36">
        <v>15.81</v>
      </c>
      <c r="D59" s="36">
        <v>1</v>
      </c>
      <c r="E59" s="36">
        <v>12.29</v>
      </c>
      <c r="F59" s="36">
        <v>3.52</v>
      </c>
      <c r="G59" s="36">
        <v>1.17</v>
      </c>
      <c r="H59" s="36">
        <v>0.91</v>
      </c>
      <c r="I59" s="36">
        <v>0.26</v>
      </c>
      <c r="J59" s="37">
        <f t="shared" si="13"/>
        <v>0.38999999999999996</v>
      </c>
      <c r="K59" s="37">
        <f t="shared" si="13"/>
        <v>0.30333333333333334</v>
      </c>
      <c r="L59" s="37">
        <f t="shared" si="0"/>
        <v>8.6666666666666614E-2</v>
      </c>
      <c r="M59" s="34">
        <f t="shared" si="1"/>
        <v>0.28571428571428553</v>
      </c>
      <c r="N59" s="35">
        <f t="shared" si="2"/>
        <v>15.782738399999998</v>
      </c>
      <c r="O59" s="35">
        <f t="shared" si="3"/>
        <v>12.275463199999999</v>
      </c>
      <c r="P59" s="33">
        <f t="shared" si="4"/>
        <v>3.5072751999999987</v>
      </c>
      <c r="Q59" s="34">
        <f t="shared" si="5"/>
        <v>0.28571428571428564</v>
      </c>
      <c r="R59" s="33">
        <f>VLOOKUP(A59,'[1]Kharif tonnage acres2025'!A59:C1849,2,FALSE)</f>
        <v>56.18</v>
      </c>
      <c r="S59" s="33">
        <f>VLOOKUP(A59,'[1]Kharif tonnage acres2025'!A58:C1849,3,FALSE)</f>
        <v>565</v>
      </c>
      <c r="T59" s="32" t="s">
        <v>302</v>
      </c>
    </row>
    <row r="60" spans="1:20" ht="16.5" customHeight="1" thickBot="1" x14ac:dyDescent="0.25">
      <c r="A60" s="36">
        <v>997</v>
      </c>
      <c r="B60" s="36">
        <v>739</v>
      </c>
      <c r="C60" s="36">
        <v>16.91</v>
      </c>
      <c r="D60" s="36">
        <v>1</v>
      </c>
      <c r="E60" s="36">
        <v>12.82</v>
      </c>
      <c r="F60" s="36">
        <v>4.09</v>
      </c>
      <c r="G60" s="36">
        <v>1.25</v>
      </c>
      <c r="H60" s="36">
        <v>0.95</v>
      </c>
      <c r="I60" s="36">
        <v>0.3</v>
      </c>
      <c r="J60" s="37">
        <f t="shared" si="13"/>
        <v>0.41666666666666669</v>
      </c>
      <c r="K60" s="37">
        <f t="shared" si="13"/>
        <v>0.31666666666666665</v>
      </c>
      <c r="L60" s="37">
        <f t="shared" si="0"/>
        <v>0.10000000000000003</v>
      </c>
      <c r="M60" s="34">
        <f t="shared" si="1"/>
        <v>0.31578947368421062</v>
      </c>
      <c r="N60" s="35">
        <f t="shared" si="2"/>
        <v>16.861899999999999</v>
      </c>
      <c r="O60" s="35">
        <f t="shared" si="3"/>
        <v>12.815043999999999</v>
      </c>
      <c r="P60" s="33">
        <f t="shared" si="4"/>
        <v>4.046856</v>
      </c>
      <c r="Q60" s="34">
        <f t="shared" si="5"/>
        <v>0.31578947368421056</v>
      </c>
      <c r="R60" s="33">
        <f>VLOOKUP(A60,'[1]Kharif tonnage acres2025'!A60:C1850,2,FALSE)</f>
        <v>21.29</v>
      </c>
      <c r="S60" s="33">
        <f>VLOOKUP(A60,'[1]Kharif tonnage acres2025'!A59:C1850,3,FALSE)</f>
        <v>205</v>
      </c>
      <c r="T60" s="32" t="s">
        <v>303</v>
      </c>
    </row>
    <row r="61" spans="1:20" ht="16.5" customHeight="1" thickBot="1" x14ac:dyDescent="0.25">
      <c r="A61" s="36">
        <v>1748342788464</v>
      </c>
      <c r="B61" s="36">
        <v>769</v>
      </c>
      <c r="C61" s="36">
        <v>14.6</v>
      </c>
      <c r="D61" s="36">
        <v>2</v>
      </c>
      <c r="E61" s="36">
        <v>11.3</v>
      </c>
      <c r="F61" s="36">
        <v>3.3</v>
      </c>
      <c r="G61" s="36">
        <v>0.35</v>
      </c>
      <c r="H61" s="36">
        <v>0.28000000000000003</v>
      </c>
      <c r="I61" s="36">
        <v>7.0000000000000007E-2</v>
      </c>
      <c r="J61" s="36">
        <f>G61</f>
        <v>0.35</v>
      </c>
      <c r="K61" s="36">
        <f>H61</f>
        <v>0.28000000000000003</v>
      </c>
      <c r="L61" s="36">
        <f t="shared" si="0"/>
        <v>6.9999999999999951E-2</v>
      </c>
      <c r="M61" s="34">
        <f t="shared" si="1"/>
        <v>0.24999999999999981</v>
      </c>
      <c r="N61" s="35">
        <f t="shared" si="2"/>
        <v>14.163995999999997</v>
      </c>
      <c r="O61" s="35">
        <f t="shared" si="3"/>
        <v>11.331196800000001</v>
      </c>
      <c r="P61" s="33">
        <f t="shared" si="4"/>
        <v>2.8327991999999966</v>
      </c>
      <c r="Q61" s="34">
        <f t="shared" si="5"/>
        <v>0.24999999999999969</v>
      </c>
      <c r="R61" s="33">
        <f>VLOOKUP(A61,'[1]Kharif tonnage acres2025'!A61:C1851,2,FALSE)</f>
        <v>2.4</v>
      </c>
      <c r="S61" s="33">
        <f>VLOOKUP(A61,'[1]Kharif tonnage acres2025'!A60:C1851,3,FALSE)</f>
        <v>25</v>
      </c>
      <c r="T61" s="32" t="s">
        <v>304</v>
      </c>
    </row>
    <row r="62" spans="1:20" ht="16.5" customHeight="1" thickBot="1" x14ac:dyDescent="0.25">
      <c r="A62" s="36">
        <v>1725268189751</v>
      </c>
      <c r="B62" s="36">
        <v>183</v>
      </c>
      <c r="C62" s="36">
        <v>15.61</v>
      </c>
      <c r="D62" s="36">
        <v>1</v>
      </c>
      <c r="E62" s="36">
        <v>12.74</v>
      </c>
      <c r="F62" s="36">
        <v>2.87</v>
      </c>
      <c r="G62" s="36">
        <v>1.1499999999999999</v>
      </c>
      <c r="H62" s="36">
        <v>0.94</v>
      </c>
      <c r="I62" s="36">
        <v>0.21</v>
      </c>
      <c r="J62" s="37">
        <f>G62/3</f>
        <v>0.3833333333333333</v>
      </c>
      <c r="K62" s="37">
        <f>H62/3</f>
        <v>0.3133333333333333</v>
      </c>
      <c r="L62" s="37">
        <f t="shared" si="0"/>
        <v>7.0000000000000007E-2</v>
      </c>
      <c r="M62" s="34">
        <f t="shared" si="1"/>
        <v>0.22340425531914898</v>
      </c>
      <c r="N62" s="35">
        <f t="shared" si="2"/>
        <v>15.512947999999998</v>
      </c>
      <c r="O62" s="35">
        <f t="shared" si="3"/>
        <v>12.680148799999998</v>
      </c>
      <c r="P62" s="33">
        <f t="shared" si="4"/>
        <v>2.8327992000000002</v>
      </c>
      <c r="Q62" s="34">
        <f t="shared" si="5"/>
        <v>0.22340425531914898</v>
      </c>
      <c r="R62" s="33">
        <f>VLOOKUP(A62,'[1]Kharif tonnage acres2025'!A62:C1852,2,FALSE)</f>
        <v>22.96</v>
      </c>
      <c r="S62" s="33">
        <f>VLOOKUP(A62,'[1]Kharif tonnage acres2025'!A61:C1852,3,FALSE)</f>
        <v>240</v>
      </c>
      <c r="T62" s="32" t="s">
        <v>305</v>
      </c>
    </row>
    <row r="63" spans="1:20" ht="16.5" customHeight="1" thickBot="1" x14ac:dyDescent="0.25">
      <c r="A63" s="36">
        <v>1748434852826</v>
      </c>
      <c r="B63" s="36">
        <v>769</v>
      </c>
      <c r="C63" s="36">
        <v>14.1</v>
      </c>
      <c r="D63" s="36">
        <v>2</v>
      </c>
      <c r="E63" s="36">
        <v>12.1</v>
      </c>
      <c r="F63" s="36">
        <v>2</v>
      </c>
      <c r="G63" s="36">
        <v>0.35</v>
      </c>
      <c r="H63" s="36">
        <v>0.3</v>
      </c>
      <c r="I63" s="36">
        <v>0.05</v>
      </c>
      <c r="J63" s="36">
        <f t="shared" ref="J63:K65" si="14">G63</f>
        <v>0.35</v>
      </c>
      <c r="K63" s="36">
        <f t="shared" si="14"/>
        <v>0.3</v>
      </c>
      <c r="L63" s="36">
        <f t="shared" si="0"/>
        <v>4.9999999999999989E-2</v>
      </c>
      <c r="M63" s="34">
        <f t="shared" si="1"/>
        <v>0.16666666666666663</v>
      </c>
      <c r="N63" s="35">
        <f t="shared" si="2"/>
        <v>14.163995999999997</v>
      </c>
      <c r="O63" s="35">
        <f t="shared" si="3"/>
        <v>12.140567999999998</v>
      </c>
      <c r="P63" s="33">
        <f t="shared" si="4"/>
        <v>2.0234279999999991</v>
      </c>
      <c r="Q63" s="34">
        <f t="shared" si="5"/>
        <v>0.16666666666666663</v>
      </c>
      <c r="R63" s="33">
        <f>VLOOKUP(A63,'[1]Kharif tonnage acres2025'!A63:C1853,2,FALSE)</f>
        <v>4.53</v>
      </c>
      <c r="S63" s="33">
        <f>VLOOKUP(A63,'[1]Kharif tonnage acres2025'!A62:C1853,3,FALSE)</f>
        <v>45</v>
      </c>
      <c r="T63" s="32" t="s">
        <v>286</v>
      </c>
    </row>
    <row r="64" spans="1:20" ht="16.5" customHeight="1" thickBot="1" x14ac:dyDescent="0.25">
      <c r="A64" s="36">
        <v>1748410421216</v>
      </c>
      <c r="B64" s="36">
        <v>769</v>
      </c>
      <c r="C64" s="36">
        <v>17.399999999999999</v>
      </c>
      <c r="D64" s="36">
        <v>2</v>
      </c>
      <c r="E64" s="36">
        <v>6</v>
      </c>
      <c r="F64" s="36">
        <v>11.4</v>
      </c>
      <c r="G64" s="36">
        <v>0.43</v>
      </c>
      <c r="H64" s="36">
        <v>0.15</v>
      </c>
      <c r="I64" s="36">
        <v>0.28000000000000003</v>
      </c>
      <c r="J64" s="36">
        <f t="shared" si="14"/>
        <v>0.43</v>
      </c>
      <c r="K64" s="36">
        <f t="shared" si="14"/>
        <v>0.15</v>
      </c>
      <c r="L64" s="36">
        <f t="shared" si="0"/>
        <v>0.28000000000000003</v>
      </c>
      <c r="M64" s="34">
        <f t="shared" si="1"/>
        <v>1.8666666666666669</v>
      </c>
      <c r="N64" s="35">
        <f t="shared" si="2"/>
        <v>17.401480799999998</v>
      </c>
      <c r="O64" s="35">
        <f t="shared" si="3"/>
        <v>6.0702839999999991</v>
      </c>
      <c r="P64" s="33">
        <f t="shared" si="4"/>
        <v>11.331196799999999</v>
      </c>
      <c r="Q64" s="34">
        <f t="shared" si="5"/>
        <v>1.8666666666666667</v>
      </c>
      <c r="R64" s="33">
        <f>VLOOKUP(A64,'[1]Kharif tonnage acres2025'!A64:C1854,2,FALSE)</f>
        <v>1.58</v>
      </c>
      <c r="S64" s="33">
        <f>VLOOKUP(A64,'[1]Kharif tonnage acres2025'!A63:C1854,3,FALSE)</f>
        <v>20</v>
      </c>
      <c r="T64" s="32" t="s">
        <v>306</v>
      </c>
    </row>
    <row r="65" spans="1:20" ht="16.5" customHeight="1" thickBot="1" x14ac:dyDescent="0.25">
      <c r="A65" s="36">
        <v>1748317441822</v>
      </c>
      <c r="B65" s="36">
        <v>769</v>
      </c>
      <c r="C65" s="36">
        <v>15.37</v>
      </c>
      <c r="D65" s="36">
        <v>2</v>
      </c>
      <c r="E65" s="36">
        <v>19.420000000000002</v>
      </c>
      <c r="F65" s="36">
        <v>4.05</v>
      </c>
      <c r="G65" s="36">
        <v>0.38</v>
      </c>
      <c r="H65" s="36">
        <v>0.48</v>
      </c>
      <c r="I65" s="36">
        <v>0.1</v>
      </c>
      <c r="J65" s="36">
        <f t="shared" si="14"/>
        <v>0.38</v>
      </c>
      <c r="K65" s="36">
        <f t="shared" si="14"/>
        <v>0.48</v>
      </c>
      <c r="L65" s="36">
        <f t="shared" si="0"/>
        <v>-9.9999999999999978E-2</v>
      </c>
      <c r="M65" s="34">
        <f t="shared" si="1"/>
        <v>-0.20833333333333329</v>
      </c>
      <c r="N65" s="35">
        <f t="shared" si="2"/>
        <v>15.378052799999999</v>
      </c>
      <c r="O65" s="35">
        <f t="shared" si="3"/>
        <v>19.424908799999997</v>
      </c>
      <c r="P65" s="33">
        <f t="shared" si="4"/>
        <v>-4.0468559999999982</v>
      </c>
      <c r="Q65" s="34">
        <f t="shared" si="5"/>
        <v>-0.20833333333333326</v>
      </c>
      <c r="R65" s="33">
        <f>VLOOKUP(A65,'[1]Kharif tonnage acres2025'!A65:C1855,2,FALSE)</f>
        <v>2.44</v>
      </c>
      <c r="S65" s="33">
        <f>VLOOKUP(A65,'[1]Kharif tonnage acres2025'!A64:C1855,3,FALSE)</f>
        <v>25</v>
      </c>
      <c r="T65" s="32" t="s">
        <v>307</v>
      </c>
    </row>
    <row r="66" spans="1:20" ht="16.5" customHeight="1" thickBot="1" x14ac:dyDescent="0.25">
      <c r="A66" s="36">
        <v>1724486255967</v>
      </c>
      <c r="B66" s="36">
        <v>3</v>
      </c>
      <c r="C66" s="36">
        <v>13.14</v>
      </c>
      <c r="D66" s="36">
        <v>1</v>
      </c>
      <c r="E66" s="36">
        <v>11.73</v>
      </c>
      <c r="F66" s="36">
        <v>1.41</v>
      </c>
      <c r="G66" s="36">
        <v>0.97</v>
      </c>
      <c r="H66" s="36">
        <v>0.87</v>
      </c>
      <c r="I66" s="36">
        <v>0.1</v>
      </c>
      <c r="J66" s="37">
        <f>G66/3</f>
        <v>0.32333333333333331</v>
      </c>
      <c r="K66" s="37">
        <f>H66/3</f>
        <v>0.28999999999999998</v>
      </c>
      <c r="L66" s="37">
        <f t="shared" ref="L66:L129" si="15">J66-K66</f>
        <v>3.3333333333333326E-2</v>
      </c>
      <c r="M66" s="34">
        <f t="shared" ref="M66:M129" si="16">L66/K66</f>
        <v>0.11494252873563217</v>
      </c>
      <c r="N66" s="35">
        <f t="shared" ref="N66:N129" si="17">J66*40.46856</f>
        <v>13.084834399999998</v>
      </c>
      <c r="O66" s="35">
        <f t="shared" ref="O66:O129" si="18">K66*40.46856</f>
        <v>11.735882399999998</v>
      </c>
      <c r="P66" s="33">
        <f t="shared" ref="P66:P129" si="19">N66-O66</f>
        <v>1.3489520000000006</v>
      </c>
      <c r="Q66" s="34">
        <f t="shared" ref="Q66:Q129" si="20">P66/O66</f>
        <v>0.11494252873563225</v>
      </c>
      <c r="R66" s="33">
        <f>VLOOKUP(A66,'[1]Kharif tonnage acres2025'!A66:C1856,2,FALSE)</f>
        <v>14.92</v>
      </c>
      <c r="S66" s="33">
        <f>VLOOKUP(A66,'[1]Kharif tonnage acres2025'!A65:C1856,3,FALSE)</f>
        <v>180</v>
      </c>
      <c r="T66" s="32" t="s">
        <v>308</v>
      </c>
    </row>
    <row r="67" spans="1:20" ht="16.5" customHeight="1" thickBot="1" x14ac:dyDescent="0.25">
      <c r="A67" s="36">
        <v>1729138432786</v>
      </c>
      <c r="B67" s="36">
        <v>132</v>
      </c>
      <c r="C67" s="36">
        <v>16.260000000000002</v>
      </c>
      <c r="D67" s="36">
        <v>1</v>
      </c>
      <c r="E67" s="36">
        <v>12.29</v>
      </c>
      <c r="F67" s="36">
        <v>3.97</v>
      </c>
      <c r="G67" s="36">
        <v>1.2</v>
      </c>
      <c r="H67" s="36">
        <v>0.91</v>
      </c>
      <c r="I67" s="36">
        <v>0.28999999999999998</v>
      </c>
      <c r="J67" s="37">
        <f>G67/3</f>
        <v>0.39999999999999997</v>
      </c>
      <c r="K67" s="37">
        <f>H67/3</f>
        <v>0.30333333333333334</v>
      </c>
      <c r="L67" s="37">
        <f t="shared" si="15"/>
        <v>9.6666666666666623E-2</v>
      </c>
      <c r="M67" s="34">
        <f t="shared" si="16"/>
        <v>0.31868131868131855</v>
      </c>
      <c r="N67" s="35">
        <f t="shared" si="17"/>
        <v>16.187423999999996</v>
      </c>
      <c r="O67" s="35">
        <f t="shared" si="18"/>
        <v>12.275463199999999</v>
      </c>
      <c r="P67" s="33">
        <f t="shared" si="19"/>
        <v>3.9119607999999975</v>
      </c>
      <c r="Q67" s="34">
        <f t="shared" si="20"/>
        <v>0.31868131868131849</v>
      </c>
      <c r="R67" s="33">
        <f>VLOOKUP(A67,'[1]Kharif tonnage acres2025'!A67:C1857,2,FALSE)</f>
        <v>19.41</v>
      </c>
      <c r="S67" s="33">
        <f>VLOOKUP(A67,'[1]Kharif tonnage acres2025'!A66:C1857,3,FALSE)</f>
        <v>205</v>
      </c>
      <c r="T67" s="32" t="s">
        <v>309</v>
      </c>
    </row>
    <row r="68" spans="1:20" ht="16.5" customHeight="1" thickBot="1" x14ac:dyDescent="0.25">
      <c r="A68" s="36">
        <v>1716602739480</v>
      </c>
      <c r="B68" s="36">
        <v>769</v>
      </c>
      <c r="C68" s="36">
        <v>12</v>
      </c>
      <c r="D68" s="36">
        <v>2</v>
      </c>
      <c r="E68" s="36">
        <v>9</v>
      </c>
      <c r="F68" s="36">
        <v>3</v>
      </c>
      <c r="G68" s="36">
        <v>0.28999999999999998</v>
      </c>
      <c r="H68" s="36">
        <v>0.2</v>
      </c>
      <c r="I68" s="36">
        <v>0.09</v>
      </c>
      <c r="J68" s="36">
        <f t="shared" ref="J68:K71" si="21">G68</f>
        <v>0.28999999999999998</v>
      </c>
      <c r="K68" s="36">
        <f t="shared" si="21"/>
        <v>0.2</v>
      </c>
      <c r="L68" s="36">
        <f t="shared" si="15"/>
        <v>8.9999999999999969E-2</v>
      </c>
      <c r="M68" s="34">
        <f t="shared" si="16"/>
        <v>0.44999999999999984</v>
      </c>
      <c r="N68" s="35">
        <f t="shared" si="17"/>
        <v>11.735882399999998</v>
      </c>
      <c r="O68" s="35">
        <f t="shared" si="18"/>
        <v>8.093712</v>
      </c>
      <c r="P68" s="33">
        <f t="shared" si="19"/>
        <v>3.6421703999999977</v>
      </c>
      <c r="Q68" s="34">
        <f t="shared" si="20"/>
        <v>0.44999999999999973</v>
      </c>
      <c r="R68" s="33">
        <f>VLOOKUP(A68,'[1]Kharif tonnage acres2025'!A68:C1858,2,FALSE)</f>
        <v>8.51</v>
      </c>
      <c r="S68" s="33">
        <f>VLOOKUP(A68,'[1]Kharif tonnage acres2025'!A67:C1858,3,FALSE)</f>
        <v>90</v>
      </c>
      <c r="T68" s="32" t="s">
        <v>310</v>
      </c>
    </row>
    <row r="69" spans="1:20" ht="16.5" customHeight="1" thickBot="1" x14ac:dyDescent="0.25">
      <c r="A69" s="36">
        <v>1748333977982</v>
      </c>
      <c r="B69" s="36">
        <v>769</v>
      </c>
      <c r="C69" s="36">
        <v>14.6</v>
      </c>
      <c r="D69" s="36">
        <v>2</v>
      </c>
      <c r="E69" s="36">
        <v>10.9</v>
      </c>
      <c r="F69" s="36">
        <v>3.7</v>
      </c>
      <c r="G69" s="36">
        <v>0.35</v>
      </c>
      <c r="H69" s="36">
        <v>0.27</v>
      </c>
      <c r="I69" s="36">
        <v>0.08</v>
      </c>
      <c r="J69" s="36">
        <f t="shared" si="21"/>
        <v>0.35</v>
      </c>
      <c r="K69" s="36">
        <f t="shared" si="21"/>
        <v>0.27</v>
      </c>
      <c r="L69" s="36">
        <f t="shared" si="15"/>
        <v>7.999999999999996E-2</v>
      </c>
      <c r="M69" s="34">
        <f t="shared" si="16"/>
        <v>0.29629629629629611</v>
      </c>
      <c r="N69" s="35">
        <f t="shared" si="17"/>
        <v>14.163995999999997</v>
      </c>
      <c r="O69" s="35">
        <f t="shared" si="18"/>
        <v>10.9265112</v>
      </c>
      <c r="P69" s="33">
        <f t="shared" si="19"/>
        <v>3.2374847999999972</v>
      </c>
      <c r="Q69" s="34">
        <f t="shared" si="20"/>
        <v>0.29629629629629606</v>
      </c>
      <c r="R69" s="33">
        <f>VLOOKUP(A69,'[1]Kharif tonnage acres2025'!A69:C1859,2,FALSE)</f>
        <v>16.34</v>
      </c>
      <c r="S69" s="33">
        <f>VLOOKUP(A69,'[1]Kharif tonnage acres2025'!A68:C1859,3,FALSE)</f>
        <v>180</v>
      </c>
      <c r="T69" s="32" t="s">
        <v>311</v>
      </c>
    </row>
    <row r="70" spans="1:20" ht="16.5" customHeight="1" thickBot="1" x14ac:dyDescent="0.25">
      <c r="A70" s="36">
        <v>1749024576851</v>
      </c>
      <c r="B70" s="36">
        <v>769</v>
      </c>
      <c r="C70" s="36">
        <v>16.5</v>
      </c>
      <c r="D70" s="36">
        <v>2</v>
      </c>
      <c r="E70" s="36">
        <v>10.1</v>
      </c>
      <c r="F70" s="36">
        <v>6.4</v>
      </c>
      <c r="G70" s="36">
        <v>0.41</v>
      </c>
      <c r="H70" s="36">
        <v>0.25</v>
      </c>
      <c r="I70" s="36">
        <v>0.16</v>
      </c>
      <c r="J70" s="36">
        <f t="shared" si="21"/>
        <v>0.41</v>
      </c>
      <c r="K70" s="36">
        <f t="shared" si="21"/>
        <v>0.25</v>
      </c>
      <c r="L70" s="36">
        <f t="shared" si="15"/>
        <v>0.15999999999999998</v>
      </c>
      <c r="M70" s="34">
        <f t="shared" si="16"/>
        <v>0.6399999999999999</v>
      </c>
      <c r="N70" s="35">
        <f t="shared" si="17"/>
        <v>16.592109599999997</v>
      </c>
      <c r="O70" s="35">
        <f t="shared" si="18"/>
        <v>10.117139999999999</v>
      </c>
      <c r="P70" s="33">
        <f t="shared" si="19"/>
        <v>6.4749695999999979</v>
      </c>
      <c r="Q70" s="34">
        <f t="shared" si="20"/>
        <v>0.63999999999999979</v>
      </c>
      <c r="R70" s="33">
        <f>VLOOKUP(A70,'[1]Kharif tonnage acres2025'!A70:C1860,2,FALSE)</f>
        <v>2.57</v>
      </c>
      <c r="S70" s="33">
        <f>VLOOKUP(A70,'[1]Kharif tonnage acres2025'!A69:C1860,3,FALSE)</f>
        <v>30</v>
      </c>
      <c r="T70" s="32" t="s">
        <v>312</v>
      </c>
    </row>
    <row r="71" spans="1:20" ht="16.5" customHeight="1" thickBot="1" x14ac:dyDescent="0.25">
      <c r="A71" s="36">
        <v>1748317325987</v>
      </c>
      <c r="B71" s="36">
        <v>769</v>
      </c>
      <c r="C71" s="36">
        <v>14</v>
      </c>
      <c r="D71" s="36">
        <v>2</v>
      </c>
      <c r="E71" s="36">
        <v>10</v>
      </c>
      <c r="F71" s="36">
        <v>4</v>
      </c>
      <c r="G71" s="36">
        <v>0.35</v>
      </c>
      <c r="H71" s="36">
        <v>0.22</v>
      </c>
      <c r="I71" s="36">
        <v>0.13</v>
      </c>
      <c r="J71" s="36">
        <f t="shared" si="21"/>
        <v>0.35</v>
      </c>
      <c r="K71" s="36">
        <f t="shared" si="21"/>
        <v>0.22</v>
      </c>
      <c r="L71" s="36">
        <f t="shared" si="15"/>
        <v>0.12999999999999998</v>
      </c>
      <c r="M71" s="34">
        <f t="shared" si="16"/>
        <v>0.59090909090909083</v>
      </c>
      <c r="N71" s="35">
        <f t="shared" si="17"/>
        <v>14.163995999999997</v>
      </c>
      <c r="O71" s="35">
        <f t="shared" si="18"/>
        <v>8.9030831999999993</v>
      </c>
      <c r="P71" s="33">
        <f t="shared" si="19"/>
        <v>5.2609127999999981</v>
      </c>
      <c r="Q71" s="34">
        <f t="shared" si="20"/>
        <v>0.59090909090909072</v>
      </c>
      <c r="R71" s="33">
        <f>VLOOKUP(A71,'[1]Kharif tonnage acres2025'!A71:C1861,2,FALSE)</f>
        <v>0.99</v>
      </c>
      <c r="S71" s="33">
        <f>VLOOKUP(A71,'[1]Kharif tonnage acres2025'!A70:C1861,3,FALSE)</f>
        <v>10</v>
      </c>
      <c r="T71" s="32" t="s">
        <v>313</v>
      </c>
    </row>
    <row r="72" spans="1:20" ht="16.5" customHeight="1" thickBot="1" x14ac:dyDescent="0.25">
      <c r="A72" s="36">
        <v>1723623089946</v>
      </c>
      <c r="B72" s="36">
        <v>31</v>
      </c>
      <c r="C72" s="36">
        <v>17.350000000000001</v>
      </c>
      <c r="D72" s="36">
        <v>1</v>
      </c>
      <c r="E72" s="36">
        <v>13.95</v>
      </c>
      <c r="F72" s="36">
        <v>3.4</v>
      </c>
      <c r="G72" s="36">
        <v>1.28</v>
      </c>
      <c r="H72" s="36">
        <v>1.03</v>
      </c>
      <c r="I72" s="36">
        <v>0.25</v>
      </c>
      <c r="J72" s="37">
        <f t="shared" ref="J72:K76" si="22">G72/3</f>
        <v>0.42666666666666669</v>
      </c>
      <c r="K72" s="37">
        <f t="shared" si="22"/>
        <v>0.34333333333333332</v>
      </c>
      <c r="L72" s="37">
        <f t="shared" si="15"/>
        <v>8.333333333333337E-2</v>
      </c>
      <c r="M72" s="34">
        <f t="shared" si="16"/>
        <v>0.24271844660194186</v>
      </c>
      <c r="N72" s="35">
        <f t="shared" si="17"/>
        <v>17.266585599999999</v>
      </c>
      <c r="O72" s="35">
        <f t="shared" si="18"/>
        <v>13.894205599999998</v>
      </c>
      <c r="P72" s="33">
        <f t="shared" si="19"/>
        <v>3.3723800000000015</v>
      </c>
      <c r="Q72" s="34">
        <f t="shared" si="20"/>
        <v>0.24271844660194189</v>
      </c>
      <c r="R72" s="33">
        <f>VLOOKUP(A72,'[1]Kharif tonnage acres2025'!A72:C1862,2,FALSE)</f>
        <v>14.91</v>
      </c>
      <c r="S72" s="33">
        <f>VLOOKUP(A72,'[1]Kharif tonnage acres2025'!A71:C1862,3,FALSE)</f>
        <v>140</v>
      </c>
      <c r="T72" s="32" t="s">
        <v>314</v>
      </c>
    </row>
    <row r="73" spans="1:20" ht="16.5" customHeight="1" thickBot="1" x14ac:dyDescent="0.25">
      <c r="A73" s="36">
        <v>1728969151426</v>
      </c>
      <c r="B73" s="36">
        <v>132</v>
      </c>
      <c r="C73" s="36">
        <v>14.16</v>
      </c>
      <c r="D73" s="36">
        <v>1</v>
      </c>
      <c r="E73" s="36">
        <v>11.93</v>
      </c>
      <c r="F73" s="36">
        <v>2.23</v>
      </c>
      <c r="G73" s="36">
        <v>1.05</v>
      </c>
      <c r="H73" s="36">
        <v>0.88</v>
      </c>
      <c r="I73" s="36">
        <v>0.17</v>
      </c>
      <c r="J73" s="37">
        <f t="shared" si="22"/>
        <v>0.35000000000000003</v>
      </c>
      <c r="K73" s="37">
        <f t="shared" si="22"/>
        <v>0.29333333333333333</v>
      </c>
      <c r="L73" s="37">
        <f t="shared" si="15"/>
        <v>5.6666666666666698E-2</v>
      </c>
      <c r="M73" s="34">
        <f t="shared" si="16"/>
        <v>0.19318181818181829</v>
      </c>
      <c r="N73" s="35">
        <f t="shared" si="17"/>
        <v>14.163996000000001</v>
      </c>
      <c r="O73" s="35">
        <f t="shared" si="18"/>
        <v>11.870777599999998</v>
      </c>
      <c r="P73" s="33">
        <f t="shared" si="19"/>
        <v>2.2932184000000024</v>
      </c>
      <c r="Q73" s="34">
        <f t="shared" si="20"/>
        <v>0.1931818181818184</v>
      </c>
      <c r="R73" s="33">
        <f>VLOOKUP(A73,'[1]Kharif tonnage acres2025'!A73:C1863,2,FALSE)</f>
        <v>21.37</v>
      </c>
      <c r="S73" s="33">
        <f>VLOOKUP(A73,'[1]Kharif tonnage acres2025'!A72:C1863,3,FALSE)</f>
        <v>205</v>
      </c>
      <c r="T73" s="32" t="s">
        <v>315</v>
      </c>
    </row>
    <row r="74" spans="1:20" ht="16.5" customHeight="1" thickBot="1" x14ac:dyDescent="0.25">
      <c r="A74" s="36">
        <v>1710565878731</v>
      </c>
      <c r="B74" s="36">
        <v>132</v>
      </c>
      <c r="C74" s="36">
        <v>13.18</v>
      </c>
      <c r="D74" s="36">
        <v>1</v>
      </c>
      <c r="E74" s="36">
        <v>10.84</v>
      </c>
      <c r="F74" s="36">
        <v>2.34</v>
      </c>
      <c r="G74" s="36">
        <v>0.97</v>
      </c>
      <c r="H74" s="36">
        <v>0.8</v>
      </c>
      <c r="I74" s="36">
        <v>0.17</v>
      </c>
      <c r="J74" s="37">
        <f t="shared" si="22"/>
        <v>0.32333333333333331</v>
      </c>
      <c r="K74" s="37">
        <f t="shared" si="22"/>
        <v>0.26666666666666666</v>
      </c>
      <c r="L74" s="37">
        <f t="shared" si="15"/>
        <v>5.6666666666666643E-2</v>
      </c>
      <c r="M74" s="34">
        <f t="shared" si="16"/>
        <v>0.21249999999999991</v>
      </c>
      <c r="N74" s="35">
        <f t="shared" si="17"/>
        <v>13.084834399999998</v>
      </c>
      <c r="O74" s="35">
        <f t="shared" si="18"/>
        <v>10.791615999999999</v>
      </c>
      <c r="P74" s="33">
        <f t="shared" si="19"/>
        <v>2.2932183999999989</v>
      </c>
      <c r="Q74" s="34">
        <f t="shared" si="20"/>
        <v>0.21249999999999991</v>
      </c>
      <c r="R74" s="33">
        <f>VLOOKUP(A74,'[1]Kharif tonnage acres2025'!A74:C1864,2,FALSE)</f>
        <v>26.67</v>
      </c>
      <c r="S74" s="33">
        <f>VLOOKUP(A74,'[1]Kharif tonnage acres2025'!A73:C1864,3,FALSE)</f>
        <v>270</v>
      </c>
      <c r="T74" s="32" t="s">
        <v>316</v>
      </c>
    </row>
    <row r="75" spans="1:20" ht="16.5" customHeight="1" thickBot="1" x14ac:dyDescent="0.25">
      <c r="A75" s="36">
        <v>1728104318429</v>
      </c>
      <c r="B75" s="36">
        <v>89</v>
      </c>
      <c r="C75" s="36">
        <v>12.86</v>
      </c>
      <c r="D75" s="36">
        <v>1</v>
      </c>
      <c r="E75" s="36">
        <v>11.08</v>
      </c>
      <c r="F75" s="36">
        <v>1.78</v>
      </c>
      <c r="G75" s="36">
        <v>0.95</v>
      </c>
      <c r="H75" s="36">
        <v>0.82</v>
      </c>
      <c r="I75" s="36">
        <v>0.13</v>
      </c>
      <c r="J75" s="37">
        <f t="shared" si="22"/>
        <v>0.31666666666666665</v>
      </c>
      <c r="K75" s="37">
        <f t="shared" si="22"/>
        <v>0.27333333333333332</v>
      </c>
      <c r="L75" s="37">
        <f t="shared" si="15"/>
        <v>4.3333333333333335E-2</v>
      </c>
      <c r="M75" s="34">
        <f t="shared" si="16"/>
        <v>0.15853658536585366</v>
      </c>
      <c r="N75" s="35">
        <f t="shared" si="17"/>
        <v>12.815043999999999</v>
      </c>
      <c r="O75" s="35">
        <f t="shared" si="18"/>
        <v>11.061406399999999</v>
      </c>
      <c r="P75" s="33">
        <f t="shared" si="19"/>
        <v>1.7536375999999994</v>
      </c>
      <c r="Q75" s="34">
        <f t="shared" si="20"/>
        <v>0.15853658536585361</v>
      </c>
      <c r="R75" s="33">
        <f>VLOOKUP(A75,'[1]Kharif tonnage acres2025'!A75:C1865,2,FALSE)</f>
        <v>15.43</v>
      </c>
      <c r="S75" s="33">
        <f>VLOOKUP(A75,'[1]Kharif tonnage acres2025'!A74:C1865,3,FALSE)</f>
        <v>165</v>
      </c>
      <c r="T75" s="32" t="s">
        <v>308</v>
      </c>
    </row>
    <row r="76" spans="1:20" ht="16.5" customHeight="1" thickBot="1" x14ac:dyDescent="0.25">
      <c r="A76" s="36">
        <v>1729140118111</v>
      </c>
      <c r="B76" s="36">
        <v>132</v>
      </c>
      <c r="C76" s="36">
        <v>16.54</v>
      </c>
      <c r="D76" s="36">
        <v>1</v>
      </c>
      <c r="E76" s="36">
        <v>12.25</v>
      </c>
      <c r="F76" s="36">
        <v>4.29</v>
      </c>
      <c r="G76" s="36">
        <v>1.22</v>
      </c>
      <c r="H76" s="36">
        <v>0.9</v>
      </c>
      <c r="I76" s="36">
        <v>0.32</v>
      </c>
      <c r="J76" s="37">
        <f t="shared" si="22"/>
        <v>0.40666666666666668</v>
      </c>
      <c r="K76" s="37">
        <f t="shared" si="22"/>
        <v>0.3</v>
      </c>
      <c r="L76" s="37">
        <f t="shared" si="15"/>
        <v>0.10666666666666669</v>
      </c>
      <c r="M76" s="34">
        <f t="shared" si="16"/>
        <v>0.35555555555555562</v>
      </c>
      <c r="N76" s="35">
        <f t="shared" si="17"/>
        <v>16.457214399999998</v>
      </c>
      <c r="O76" s="35">
        <f t="shared" si="18"/>
        <v>12.140567999999998</v>
      </c>
      <c r="P76" s="33">
        <f t="shared" si="19"/>
        <v>4.3166463999999998</v>
      </c>
      <c r="Q76" s="34">
        <f t="shared" si="20"/>
        <v>0.35555555555555557</v>
      </c>
      <c r="R76" s="33">
        <f>VLOOKUP(A76,'[1]Kharif tonnage acres2025'!A76:C1866,2,FALSE)</f>
        <v>19.52</v>
      </c>
      <c r="S76" s="33">
        <f>VLOOKUP(A76,'[1]Kharif tonnage acres2025'!A75:C1866,3,FALSE)</f>
        <v>205</v>
      </c>
      <c r="T76" s="32" t="s">
        <v>317</v>
      </c>
    </row>
    <row r="77" spans="1:20" ht="16.5" customHeight="1" thickBot="1" x14ac:dyDescent="0.25">
      <c r="A77" s="36">
        <v>1749807897941</v>
      </c>
      <c r="B77" s="36">
        <v>785</v>
      </c>
      <c r="C77" s="36">
        <v>11.8</v>
      </c>
      <c r="D77" s="36">
        <v>2</v>
      </c>
      <c r="E77" s="36">
        <v>10.7</v>
      </c>
      <c r="F77" s="36">
        <v>1.1000000000000001</v>
      </c>
      <c r="G77" s="36">
        <v>0.28999999999999998</v>
      </c>
      <c r="H77" s="36">
        <v>0.26</v>
      </c>
      <c r="I77" s="36">
        <v>0.03</v>
      </c>
      <c r="J77" s="36">
        <f>G77</f>
        <v>0.28999999999999998</v>
      </c>
      <c r="K77" s="36">
        <f>H77</f>
        <v>0.26</v>
      </c>
      <c r="L77" s="36">
        <f t="shared" si="15"/>
        <v>2.9999999999999971E-2</v>
      </c>
      <c r="M77" s="34">
        <f t="shared" si="16"/>
        <v>0.11538461538461527</v>
      </c>
      <c r="N77" s="35">
        <f t="shared" si="17"/>
        <v>11.735882399999998</v>
      </c>
      <c r="O77" s="35">
        <f t="shared" si="18"/>
        <v>10.5218256</v>
      </c>
      <c r="P77" s="33">
        <f t="shared" si="19"/>
        <v>1.214056799999998</v>
      </c>
      <c r="Q77" s="34">
        <f t="shared" si="20"/>
        <v>0.1153846153846152</v>
      </c>
      <c r="R77" s="33">
        <f>VLOOKUP(A77,'[1]Kharif tonnage acres2025'!A77:C1867,2,FALSE)</f>
        <v>16.98</v>
      </c>
      <c r="S77" s="33">
        <f>VLOOKUP(A77,'[1]Kharif tonnage acres2025'!A76:C1867,3,FALSE)</f>
        <v>180</v>
      </c>
      <c r="T77" s="32" t="s">
        <v>318</v>
      </c>
    </row>
    <row r="78" spans="1:20" ht="16.5" customHeight="1" thickBot="1" x14ac:dyDescent="0.25">
      <c r="A78" s="36">
        <v>1729751376020</v>
      </c>
      <c r="B78" s="36">
        <v>124</v>
      </c>
      <c r="C78" s="36">
        <v>14.16</v>
      </c>
      <c r="D78" s="36">
        <v>1</v>
      </c>
      <c r="E78" s="36">
        <v>10.51</v>
      </c>
      <c r="F78" s="36">
        <v>3.65</v>
      </c>
      <c r="G78" s="36">
        <v>1.05</v>
      </c>
      <c r="H78" s="36">
        <v>0.78</v>
      </c>
      <c r="I78" s="36">
        <v>0.27</v>
      </c>
      <c r="J78" s="37">
        <f t="shared" ref="J78:K84" si="23">G78/3</f>
        <v>0.35000000000000003</v>
      </c>
      <c r="K78" s="37">
        <f t="shared" si="23"/>
        <v>0.26</v>
      </c>
      <c r="L78" s="37">
        <f t="shared" si="15"/>
        <v>9.0000000000000024E-2</v>
      </c>
      <c r="M78" s="34">
        <f t="shared" si="16"/>
        <v>0.34615384615384626</v>
      </c>
      <c r="N78" s="35">
        <f t="shared" si="17"/>
        <v>14.163996000000001</v>
      </c>
      <c r="O78" s="35">
        <f t="shared" si="18"/>
        <v>10.5218256</v>
      </c>
      <c r="P78" s="33">
        <f t="shared" si="19"/>
        <v>3.6421704000000013</v>
      </c>
      <c r="Q78" s="34">
        <f t="shared" si="20"/>
        <v>0.34615384615384626</v>
      </c>
      <c r="R78" s="33">
        <f>VLOOKUP(A78,'[1]Kharif tonnage acres2025'!A78:C1868,2,FALSE)</f>
        <v>9.1999999999999993</v>
      </c>
      <c r="S78" s="33">
        <f>VLOOKUP(A78,'[1]Kharif tonnage acres2025'!A77:C1868,3,FALSE)</f>
        <v>100</v>
      </c>
      <c r="T78" s="32" t="s">
        <v>319</v>
      </c>
    </row>
    <row r="79" spans="1:20" ht="16.5" customHeight="1" thickBot="1" x14ac:dyDescent="0.25">
      <c r="A79" s="36">
        <v>1724483073285</v>
      </c>
      <c r="B79" s="36">
        <v>182</v>
      </c>
      <c r="C79" s="36">
        <v>18.61</v>
      </c>
      <c r="D79" s="36">
        <v>1</v>
      </c>
      <c r="E79" s="36">
        <v>15.77</v>
      </c>
      <c r="F79" s="36">
        <v>2.84</v>
      </c>
      <c r="G79" s="36">
        <v>1.38</v>
      </c>
      <c r="H79" s="36">
        <v>1.17</v>
      </c>
      <c r="I79" s="36">
        <v>0.21</v>
      </c>
      <c r="J79" s="37">
        <f t="shared" si="23"/>
        <v>0.45999999999999996</v>
      </c>
      <c r="K79" s="37">
        <f t="shared" si="23"/>
        <v>0.38999999999999996</v>
      </c>
      <c r="L79" s="37">
        <f t="shared" si="15"/>
        <v>7.0000000000000007E-2</v>
      </c>
      <c r="M79" s="34">
        <f t="shared" si="16"/>
        <v>0.17948717948717952</v>
      </c>
      <c r="N79" s="35">
        <f t="shared" si="17"/>
        <v>18.615537599999996</v>
      </c>
      <c r="O79" s="35">
        <f t="shared" si="18"/>
        <v>15.782738399999998</v>
      </c>
      <c r="P79" s="33">
        <f t="shared" si="19"/>
        <v>2.8327991999999984</v>
      </c>
      <c r="Q79" s="34">
        <f t="shared" si="20"/>
        <v>0.1794871794871794</v>
      </c>
      <c r="R79" s="33">
        <f>VLOOKUP(A79,'[1]Kharif tonnage acres2025'!A79:C1869,2,FALSE)</f>
        <v>23.54</v>
      </c>
      <c r="S79" s="33">
        <f>VLOOKUP(A79,'[1]Kharif tonnage acres2025'!A78:C1869,3,FALSE)</f>
        <v>250</v>
      </c>
      <c r="T79" s="32" t="s">
        <v>320</v>
      </c>
    </row>
    <row r="80" spans="1:20" ht="16.5" customHeight="1" thickBot="1" x14ac:dyDescent="0.25">
      <c r="A80" s="36">
        <v>1730096084139</v>
      </c>
      <c r="B80" s="36">
        <v>124</v>
      </c>
      <c r="C80" s="36">
        <v>11.32</v>
      </c>
      <c r="D80" s="36">
        <v>1</v>
      </c>
      <c r="E80" s="36">
        <v>6.87</v>
      </c>
      <c r="F80" s="36">
        <v>4.45</v>
      </c>
      <c r="G80" s="36">
        <v>0.84</v>
      </c>
      <c r="H80" s="36">
        <v>0.51</v>
      </c>
      <c r="I80" s="36">
        <v>0.33</v>
      </c>
      <c r="J80" s="37">
        <f t="shared" si="23"/>
        <v>0.27999999999999997</v>
      </c>
      <c r="K80" s="37">
        <f t="shared" si="23"/>
        <v>0.17</v>
      </c>
      <c r="L80" s="37">
        <f t="shared" si="15"/>
        <v>0.10999999999999996</v>
      </c>
      <c r="M80" s="34">
        <f t="shared" si="16"/>
        <v>0.64705882352941146</v>
      </c>
      <c r="N80" s="35">
        <f t="shared" si="17"/>
        <v>11.331196799999997</v>
      </c>
      <c r="O80" s="35">
        <f t="shared" si="18"/>
        <v>6.8796552000000002</v>
      </c>
      <c r="P80" s="33">
        <f t="shared" si="19"/>
        <v>4.451541599999997</v>
      </c>
      <c r="Q80" s="34">
        <f t="shared" si="20"/>
        <v>0.64705882352941135</v>
      </c>
      <c r="R80" s="33">
        <f>VLOOKUP(A80,'[1]Kharif tonnage acres2025'!A80:C1870,2,FALSE)</f>
        <v>25.71</v>
      </c>
      <c r="S80" s="33">
        <f>VLOOKUP(A80,'[1]Kharif tonnage acres2025'!A79:C1870,3,FALSE)</f>
        <v>280</v>
      </c>
      <c r="T80" s="32"/>
    </row>
    <row r="81" spans="1:20" ht="16.5" customHeight="1" thickBot="1" x14ac:dyDescent="0.25">
      <c r="A81" s="36">
        <v>1727150667724</v>
      </c>
      <c r="B81" s="36">
        <v>55</v>
      </c>
      <c r="C81" s="36">
        <v>16.34</v>
      </c>
      <c r="D81" s="36">
        <v>1</v>
      </c>
      <c r="E81" s="36">
        <v>13.27</v>
      </c>
      <c r="F81" s="36">
        <v>3.07</v>
      </c>
      <c r="G81" s="36">
        <v>1.21</v>
      </c>
      <c r="H81" s="36">
        <v>0.98</v>
      </c>
      <c r="I81" s="36">
        <v>0.23</v>
      </c>
      <c r="J81" s="37">
        <f t="shared" si="23"/>
        <v>0.40333333333333332</v>
      </c>
      <c r="K81" s="37">
        <f t="shared" si="23"/>
        <v>0.32666666666666666</v>
      </c>
      <c r="L81" s="37">
        <f t="shared" si="15"/>
        <v>7.6666666666666661E-2</v>
      </c>
      <c r="M81" s="34">
        <f t="shared" si="16"/>
        <v>0.23469387755102039</v>
      </c>
      <c r="N81" s="35">
        <f t="shared" si="17"/>
        <v>16.322319199999999</v>
      </c>
      <c r="O81" s="35">
        <f t="shared" si="18"/>
        <v>13.219729599999999</v>
      </c>
      <c r="P81" s="33">
        <f t="shared" si="19"/>
        <v>3.1025895999999999</v>
      </c>
      <c r="Q81" s="34">
        <f t="shared" si="20"/>
        <v>0.23469387755102042</v>
      </c>
      <c r="R81" s="33">
        <f>VLOOKUP(A81,'[1]Kharif tonnage acres2025'!A81:C1871,2,FALSE)</f>
        <v>3.57</v>
      </c>
      <c r="S81" s="33">
        <f>VLOOKUP(A81,'[1]Kharif tonnage acres2025'!A80:C1871,3,FALSE)</f>
        <v>35</v>
      </c>
      <c r="T81" s="32" t="s">
        <v>321</v>
      </c>
    </row>
    <row r="82" spans="1:20" ht="16.5" customHeight="1" thickBot="1" x14ac:dyDescent="0.25">
      <c r="A82" s="36">
        <v>1725269298453</v>
      </c>
      <c r="B82" s="36">
        <v>183</v>
      </c>
      <c r="C82" s="36">
        <v>15.98</v>
      </c>
      <c r="D82" s="36">
        <v>1</v>
      </c>
      <c r="E82" s="36">
        <v>13.27</v>
      </c>
      <c r="F82" s="36">
        <v>2.71</v>
      </c>
      <c r="G82" s="36">
        <v>1.18</v>
      </c>
      <c r="H82" s="36">
        <v>0.98</v>
      </c>
      <c r="I82" s="36">
        <v>0.2</v>
      </c>
      <c r="J82" s="37">
        <f t="shared" si="23"/>
        <v>0.39333333333333331</v>
      </c>
      <c r="K82" s="37">
        <f t="shared" si="23"/>
        <v>0.32666666666666666</v>
      </c>
      <c r="L82" s="37">
        <f t="shared" si="15"/>
        <v>6.6666666666666652E-2</v>
      </c>
      <c r="M82" s="34">
        <f t="shared" si="16"/>
        <v>0.20408163265306117</v>
      </c>
      <c r="N82" s="35">
        <f t="shared" si="17"/>
        <v>15.917633599999998</v>
      </c>
      <c r="O82" s="35">
        <f t="shared" si="18"/>
        <v>13.219729599999999</v>
      </c>
      <c r="P82" s="33">
        <f t="shared" si="19"/>
        <v>2.6979039999999994</v>
      </c>
      <c r="Q82" s="34">
        <f t="shared" si="20"/>
        <v>0.2040816326530612</v>
      </c>
      <c r="R82" s="33">
        <f>VLOOKUP(A82,'[1]Kharif tonnage acres2025'!A82:C1872,2,FALSE)</f>
        <v>10.48</v>
      </c>
      <c r="S82" s="33">
        <f>VLOOKUP(A82,'[1]Kharif tonnage acres2025'!A81:C1872,3,FALSE)</f>
        <v>105</v>
      </c>
      <c r="T82" s="32" t="s">
        <v>322</v>
      </c>
    </row>
    <row r="83" spans="1:20" ht="16.5" customHeight="1" thickBot="1" x14ac:dyDescent="0.25">
      <c r="A83" s="36">
        <v>1725268948308</v>
      </c>
      <c r="B83" s="36">
        <v>183</v>
      </c>
      <c r="C83" s="36">
        <v>14.88</v>
      </c>
      <c r="D83" s="36">
        <v>1</v>
      </c>
      <c r="E83" s="36">
        <v>11.61</v>
      </c>
      <c r="F83" s="36">
        <v>3.26</v>
      </c>
      <c r="G83" s="36">
        <v>1.1000000000000001</v>
      </c>
      <c r="H83" s="36">
        <v>0.86</v>
      </c>
      <c r="I83" s="36">
        <v>0.24</v>
      </c>
      <c r="J83" s="37">
        <f t="shared" si="23"/>
        <v>0.3666666666666667</v>
      </c>
      <c r="K83" s="37">
        <f t="shared" si="23"/>
        <v>0.28666666666666668</v>
      </c>
      <c r="L83" s="37">
        <f t="shared" si="15"/>
        <v>8.0000000000000016E-2</v>
      </c>
      <c r="M83" s="34">
        <f t="shared" si="16"/>
        <v>0.27906976744186052</v>
      </c>
      <c r="N83" s="35">
        <f t="shared" si="17"/>
        <v>14.838471999999999</v>
      </c>
      <c r="O83" s="35">
        <f t="shared" si="18"/>
        <v>11.600987199999999</v>
      </c>
      <c r="P83" s="33">
        <f t="shared" si="19"/>
        <v>3.2374848000000007</v>
      </c>
      <c r="Q83" s="34">
        <f t="shared" si="20"/>
        <v>0.27906976744186057</v>
      </c>
      <c r="R83" s="33">
        <f>VLOOKUP(A83,'[1]Kharif tonnage acres2025'!A83:C1873,2,FALSE)</f>
        <v>7.07</v>
      </c>
      <c r="S83" s="33">
        <f>VLOOKUP(A83,'[1]Kharif tonnage acres2025'!A82:C1873,3,FALSE)</f>
        <v>75</v>
      </c>
      <c r="T83" s="32" t="s">
        <v>323</v>
      </c>
    </row>
    <row r="84" spans="1:20" ht="16.5" customHeight="1" thickBot="1" x14ac:dyDescent="0.25">
      <c r="A84" s="36">
        <v>1729678259463</v>
      </c>
      <c r="B84" s="36">
        <v>124</v>
      </c>
      <c r="C84" s="36">
        <v>14.97</v>
      </c>
      <c r="D84" s="36">
        <v>1</v>
      </c>
      <c r="E84" s="36">
        <v>11.73</v>
      </c>
      <c r="F84" s="36">
        <v>3.23</v>
      </c>
      <c r="G84" s="36">
        <v>1.1100000000000001</v>
      </c>
      <c r="H84" s="36">
        <v>0.87</v>
      </c>
      <c r="I84" s="36">
        <v>0.24</v>
      </c>
      <c r="J84" s="37">
        <f t="shared" si="23"/>
        <v>0.37000000000000005</v>
      </c>
      <c r="K84" s="37">
        <f t="shared" si="23"/>
        <v>0.28999999999999998</v>
      </c>
      <c r="L84" s="37">
        <f t="shared" si="15"/>
        <v>8.0000000000000071E-2</v>
      </c>
      <c r="M84" s="34">
        <f t="shared" si="16"/>
        <v>0.27586206896551752</v>
      </c>
      <c r="N84" s="35">
        <f t="shared" si="17"/>
        <v>14.9733672</v>
      </c>
      <c r="O84" s="35">
        <f t="shared" si="18"/>
        <v>11.735882399999998</v>
      </c>
      <c r="P84" s="33">
        <f t="shared" si="19"/>
        <v>3.2374848000000025</v>
      </c>
      <c r="Q84" s="34">
        <f t="shared" si="20"/>
        <v>0.27586206896551752</v>
      </c>
      <c r="R84" s="33">
        <f>VLOOKUP(A84,'[1]Kharif tonnage acres2025'!A84:C1874,2,FALSE)</f>
        <v>17.12</v>
      </c>
      <c r="S84" s="33">
        <f>VLOOKUP(A84,'[1]Kharif tonnage acres2025'!A83:C1874,3,FALSE)</f>
        <v>180</v>
      </c>
      <c r="T84" s="32" t="s">
        <v>324</v>
      </c>
    </row>
    <row r="85" spans="1:20" ht="16.5" customHeight="1" thickBot="1" x14ac:dyDescent="0.25">
      <c r="A85" s="36">
        <v>1738395919857</v>
      </c>
      <c r="B85" s="36">
        <v>954</v>
      </c>
      <c r="C85" s="36">
        <v>15</v>
      </c>
      <c r="D85" s="36">
        <v>4</v>
      </c>
      <c r="E85" s="36">
        <v>13</v>
      </c>
      <c r="F85" s="36">
        <v>2</v>
      </c>
      <c r="G85" s="36">
        <v>0.38</v>
      </c>
      <c r="H85" s="36">
        <v>0.32</v>
      </c>
      <c r="I85" s="36">
        <v>0.06</v>
      </c>
      <c r="J85" s="36">
        <f>G85</f>
        <v>0.38</v>
      </c>
      <c r="K85" s="36">
        <f>H85</f>
        <v>0.32</v>
      </c>
      <c r="L85" s="36">
        <f t="shared" si="15"/>
        <v>0.06</v>
      </c>
      <c r="M85" s="34">
        <f t="shared" si="16"/>
        <v>0.1875</v>
      </c>
      <c r="N85" s="35">
        <f t="shared" si="17"/>
        <v>15.378052799999999</v>
      </c>
      <c r="O85" s="35">
        <f t="shared" si="18"/>
        <v>12.949939199999999</v>
      </c>
      <c r="P85" s="33">
        <f t="shared" si="19"/>
        <v>2.4281135999999996</v>
      </c>
      <c r="Q85" s="34">
        <f t="shared" si="20"/>
        <v>0.18749999999999997</v>
      </c>
      <c r="R85" s="33">
        <f>VLOOKUP(A85,'[1]Kharif tonnage acres2025'!A85:C1875,2,FALSE)</f>
        <v>2.4</v>
      </c>
      <c r="S85" s="33">
        <f>VLOOKUP(A85,'[1]Kharif tonnage acres2025'!A84:C1875,3,FALSE)</f>
        <v>25</v>
      </c>
      <c r="T85" s="32" t="s">
        <v>325</v>
      </c>
    </row>
    <row r="86" spans="1:20" ht="16.5" customHeight="1" thickBot="1" x14ac:dyDescent="0.25">
      <c r="A86" s="36">
        <v>1730697549731</v>
      </c>
      <c r="B86" s="36">
        <v>947</v>
      </c>
      <c r="C86" s="36">
        <v>17.72</v>
      </c>
      <c r="D86" s="36">
        <v>1</v>
      </c>
      <c r="E86" s="36">
        <v>15.61</v>
      </c>
      <c r="F86" s="36">
        <v>2.11</v>
      </c>
      <c r="G86" s="36">
        <v>1.31</v>
      </c>
      <c r="H86" s="36">
        <v>1.1499999999999999</v>
      </c>
      <c r="I86" s="36">
        <v>0.15</v>
      </c>
      <c r="J86" s="37">
        <f t="shared" ref="J86:K91" si="24">G86/3</f>
        <v>0.4366666666666667</v>
      </c>
      <c r="K86" s="37">
        <f t="shared" si="24"/>
        <v>0.3833333333333333</v>
      </c>
      <c r="L86" s="37">
        <f t="shared" si="15"/>
        <v>5.3333333333333399E-2</v>
      </c>
      <c r="M86" s="34">
        <f t="shared" si="16"/>
        <v>0.13913043478260889</v>
      </c>
      <c r="N86" s="35">
        <f t="shared" si="17"/>
        <v>17.6712712</v>
      </c>
      <c r="O86" s="35">
        <f t="shared" si="18"/>
        <v>15.512947999999998</v>
      </c>
      <c r="P86" s="33">
        <f t="shared" si="19"/>
        <v>2.1583232000000017</v>
      </c>
      <c r="Q86" s="34">
        <f t="shared" si="20"/>
        <v>0.13913043478260881</v>
      </c>
      <c r="R86" s="33">
        <f>VLOOKUP(A86,'[1]Kharif tonnage acres2025'!A86:C1876,2,FALSE)</f>
        <v>2.44</v>
      </c>
      <c r="S86" s="33">
        <f>VLOOKUP(A86,'[1]Kharif tonnage acres2025'!A85:C1876,3,FALSE)</f>
        <v>25</v>
      </c>
      <c r="T86" s="32" t="s">
        <v>326</v>
      </c>
    </row>
    <row r="87" spans="1:20" ht="16.5" customHeight="1" thickBot="1" x14ac:dyDescent="0.25">
      <c r="A87" s="36">
        <v>1729140274171</v>
      </c>
      <c r="B87" s="36">
        <v>132</v>
      </c>
      <c r="C87" s="36">
        <v>13.91</v>
      </c>
      <c r="D87" s="36">
        <v>1</v>
      </c>
      <c r="E87" s="36">
        <v>9.8699999999999992</v>
      </c>
      <c r="F87" s="36">
        <v>4.04</v>
      </c>
      <c r="G87" s="36">
        <v>1.03</v>
      </c>
      <c r="H87" s="36">
        <v>0.73</v>
      </c>
      <c r="I87" s="36">
        <v>0.3</v>
      </c>
      <c r="J87" s="37">
        <f t="shared" si="24"/>
        <v>0.34333333333333332</v>
      </c>
      <c r="K87" s="37">
        <f t="shared" si="24"/>
        <v>0.24333333333333332</v>
      </c>
      <c r="L87" s="37">
        <f t="shared" si="15"/>
        <v>0.1</v>
      </c>
      <c r="M87" s="34">
        <f t="shared" si="16"/>
        <v>0.41095890410958907</v>
      </c>
      <c r="N87" s="35">
        <f t="shared" si="17"/>
        <v>13.894205599999998</v>
      </c>
      <c r="O87" s="35">
        <f t="shared" si="18"/>
        <v>9.8473495999999994</v>
      </c>
      <c r="P87" s="33">
        <f t="shared" si="19"/>
        <v>4.0468559999999982</v>
      </c>
      <c r="Q87" s="34">
        <f t="shared" si="20"/>
        <v>0.41095890410958891</v>
      </c>
      <c r="R87" s="33">
        <f>VLOOKUP(A87,'[1]Kharif tonnage acres2025'!A87:C1877,2,FALSE)</f>
        <v>16.22</v>
      </c>
      <c r="S87" s="33">
        <f>VLOOKUP(A87,'[1]Kharif tonnage acres2025'!A86:C1877,3,FALSE)</f>
        <v>175</v>
      </c>
      <c r="T87" s="32" t="s">
        <v>327</v>
      </c>
    </row>
    <row r="88" spans="1:20" ht="16.5" customHeight="1" thickBot="1" x14ac:dyDescent="0.25">
      <c r="A88" s="36">
        <v>1736235344914</v>
      </c>
      <c r="B88" s="36">
        <v>132</v>
      </c>
      <c r="C88" s="36">
        <v>17.39</v>
      </c>
      <c r="D88" s="36">
        <v>1</v>
      </c>
      <c r="E88" s="36">
        <v>12.54</v>
      </c>
      <c r="F88" s="36">
        <v>4.8499999999999996</v>
      </c>
      <c r="G88" s="36">
        <v>1.29</v>
      </c>
      <c r="H88" s="36">
        <v>0.93</v>
      </c>
      <c r="I88" s="36">
        <v>0.36</v>
      </c>
      <c r="J88" s="37">
        <f t="shared" si="24"/>
        <v>0.43</v>
      </c>
      <c r="K88" s="37">
        <f t="shared" si="24"/>
        <v>0.31</v>
      </c>
      <c r="L88" s="37">
        <f t="shared" si="15"/>
        <v>0.12</v>
      </c>
      <c r="M88" s="34">
        <f t="shared" si="16"/>
        <v>0.38709677419354838</v>
      </c>
      <c r="N88" s="35">
        <f t="shared" si="17"/>
        <v>17.401480799999998</v>
      </c>
      <c r="O88" s="35">
        <f t="shared" si="18"/>
        <v>12.545253599999999</v>
      </c>
      <c r="P88" s="33">
        <f t="shared" si="19"/>
        <v>4.8562271999999993</v>
      </c>
      <c r="Q88" s="34">
        <f t="shared" si="20"/>
        <v>0.38709677419354838</v>
      </c>
      <c r="R88" s="33">
        <f>VLOOKUP(A88,'[1]Kharif tonnage acres2025'!A88:C1878,2,FALSE)</f>
        <v>15.34</v>
      </c>
      <c r="S88" s="33">
        <f>VLOOKUP(A88,'[1]Kharif tonnage acres2025'!A87:C1878,3,FALSE)</f>
        <v>160</v>
      </c>
      <c r="T88" s="32" t="s">
        <v>328</v>
      </c>
    </row>
    <row r="89" spans="1:20" ht="16.5" customHeight="1" thickBot="1" x14ac:dyDescent="0.25">
      <c r="A89" s="36">
        <v>1730893139775</v>
      </c>
      <c r="B89" s="36">
        <v>947</v>
      </c>
      <c r="C89" s="36">
        <v>15.7</v>
      </c>
      <c r="D89" s="36">
        <v>1</v>
      </c>
      <c r="E89" s="36">
        <v>11.61</v>
      </c>
      <c r="F89" s="36">
        <v>4.16</v>
      </c>
      <c r="G89" s="36">
        <v>1.17</v>
      </c>
      <c r="H89" s="36">
        <v>0.86</v>
      </c>
      <c r="I89" s="36">
        <v>0.3</v>
      </c>
      <c r="J89" s="37">
        <f t="shared" si="24"/>
        <v>0.38999999999999996</v>
      </c>
      <c r="K89" s="37">
        <f t="shared" si="24"/>
        <v>0.28666666666666668</v>
      </c>
      <c r="L89" s="37">
        <f t="shared" si="15"/>
        <v>0.10333333333333328</v>
      </c>
      <c r="M89" s="34">
        <f t="shared" si="16"/>
        <v>0.36046511627906958</v>
      </c>
      <c r="N89" s="35">
        <f t="shared" si="17"/>
        <v>15.782738399999998</v>
      </c>
      <c r="O89" s="35">
        <f t="shared" si="18"/>
        <v>11.600987199999999</v>
      </c>
      <c r="P89" s="33">
        <f t="shared" si="19"/>
        <v>4.181751199999999</v>
      </c>
      <c r="Q89" s="34">
        <f t="shared" si="20"/>
        <v>0.36046511627906974</v>
      </c>
      <c r="R89" s="33">
        <f>VLOOKUP(A89,'[1]Kharif tonnage acres2025'!A89:C1879,2,FALSE)</f>
        <v>3.91</v>
      </c>
      <c r="S89" s="33">
        <f>VLOOKUP(A89,'[1]Kharif tonnage acres2025'!A88:C1879,3,FALSE)</f>
        <v>35</v>
      </c>
      <c r="T89" s="32" t="s">
        <v>329</v>
      </c>
    </row>
    <row r="90" spans="1:20" ht="16.5" customHeight="1" thickBot="1" x14ac:dyDescent="0.25">
      <c r="A90" s="36">
        <v>1869</v>
      </c>
      <c r="B90" s="36">
        <v>132</v>
      </c>
      <c r="C90" s="36">
        <v>19.010000000000002</v>
      </c>
      <c r="D90" s="36">
        <v>1</v>
      </c>
      <c r="E90" s="36">
        <v>16.579999999999998</v>
      </c>
      <c r="F90" s="36">
        <v>2.4300000000000002</v>
      </c>
      <c r="G90" s="36">
        <v>1.41</v>
      </c>
      <c r="H90" s="36">
        <v>1.23</v>
      </c>
      <c r="I90" s="36">
        <v>0.18</v>
      </c>
      <c r="J90" s="37">
        <f t="shared" si="24"/>
        <v>0.47</v>
      </c>
      <c r="K90" s="37">
        <f t="shared" si="24"/>
        <v>0.41</v>
      </c>
      <c r="L90" s="37">
        <f t="shared" si="15"/>
        <v>0.06</v>
      </c>
      <c r="M90" s="34">
        <f t="shared" si="16"/>
        <v>0.14634146341463414</v>
      </c>
      <c r="N90" s="35">
        <f t="shared" si="17"/>
        <v>19.020223199999997</v>
      </c>
      <c r="O90" s="35">
        <f t="shared" si="18"/>
        <v>16.592109599999997</v>
      </c>
      <c r="P90" s="33">
        <f t="shared" si="19"/>
        <v>2.4281135999999996</v>
      </c>
      <c r="Q90" s="34">
        <f t="shared" si="20"/>
        <v>0.14634146341463417</v>
      </c>
      <c r="R90" s="33">
        <f>VLOOKUP(A90,'[1]Kharif tonnage acres2025'!A90:C1880,2,FALSE)</f>
        <v>17.12</v>
      </c>
      <c r="S90" s="33">
        <f>VLOOKUP(A90,'[1]Kharif tonnage acres2025'!A89:C1880,3,FALSE)</f>
        <v>185</v>
      </c>
      <c r="T90" s="32" t="s">
        <v>330</v>
      </c>
    </row>
    <row r="91" spans="1:20" ht="16.5" customHeight="1" thickBot="1" x14ac:dyDescent="0.25">
      <c r="A91" s="36">
        <v>1745829630705</v>
      </c>
      <c r="B91" s="36">
        <v>182</v>
      </c>
      <c r="C91" s="36">
        <v>16.18</v>
      </c>
      <c r="D91" s="36">
        <v>1</v>
      </c>
      <c r="E91" s="36">
        <v>12.94</v>
      </c>
      <c r="F91" s="36">
        <v>3.24</v>
      </c>
      <c r="G91" s="36">
        <v>1.2</v>
      </c>
      <c r="H91" s="36">
        <v>0.96</v>
      </c>
      <c r="I91" s="36">
        <v>0.24</v>
      </c>
      <c r="J91" s="37">
        <f t="shared" si="24"/>
        <v>0.39999999999999997</v>
      </c>
      <c r="K91" s="37">
        <f t="shared" si="24"/>
        <v>0.32</v>
      </c>
      <c r="L91" s="37">
        <f t="shared" si="15"/>
        <v>7.999999999999996E-2</v>
      </c>
      <c r="M91" s="34">
        <f t="shared" si="16"/>
        <v>0.24999999999999986</v>
      </c>
      <c r="N91" s="35">
        <f t="shared" si="17"/>
        <v>16.187423999999996</v>
      </c>
      <c r="O91" s="35">
        <f t="shared" si="18"/>
        <v>12.949939199999999</v>
      </c>
      <c r="P91" s="33">
        <f t="shared" si="19"/>
        <v>3.2374847999999972</v>
      </c>
      <c r="Q91" s="34">
        <f t="shared" si="20"/>
        <v>0.24999999999999981</v>
      </c>
      <c r="R91" s="33">
        <f>VLOOKUP(A91,'[1]Kharif tonnage acres2025'!A91:C1881,2,FALSE)</f>
        <v>19.68</v>
      </c>
      <c r="S91" s="33">
        <f>VLOOKUP(A91,'[1]Kharif tonnage acres2025'!A90:C1881,3,FALSE)</f>
        <v>210</v>
      </c>
      <c r="T91" s="32" t="s">
        <v>331</v>
      </c>
    </row>
    <row r="92" spans="1:20" ht="16.5" customHeight="1" thickBot="1" x14ac:dyDescent="0.25">
      <c r="A92" s="36">
        <v>1746708391295</v>
      </c>
      <c r="B92" s="36">
        <v>770</v>
      </c>
      <c r="C92" s="36">
        <v>17.399999999999999</v>
      </c>
      <c r="D92" s="36">
        <v>2</v>
      </c>
      <c r="E92" s="36">
        <v>12.5</v>
      </c>
      <c r="F92" s="36">
        <v>4.9000000000000004</v>
      </c>
      <c r="G92" s="36">
        <v>0.43</v>
      </c>
      <c r="H92" s="36">
        <v>0.31</v>
      </c>
      <c r="I92" s="36">
        <v>0.12</v>
      </c>
      <c r="J92" s="36">
        <f>G92</f>
        <v>0.43</v>
      </c>
      <c r="K92" s="36">
        <f>H92</f>
        <v>0.31</v>
      </c>
      <c r="L92" s="36">
        <f t="shared" si="15"/>
        <v>0.12</v>
      </c>
      <c r="M92" s="34">
        <f t="shared" si="16"/>
        <v>0.38709677419354838</v>
      </c>
      <c r="N92" s="35">
        <f t="shared" si="17"/>
        <v>17.401480799999998</v>
      </c>
      <c r="O92" s="35">
        <f t="shared" si="18"/>
        <v>12.545253599999999</v>
      </c>
      <c r="P92" s="33">
        <f t="shared" si="19"/>
        <v>4.8562271999999993</v>
      </c>
      <c r="Q92" s="34">
        <f t="shared" si="20"/>
        <v>0.38709677419354838</v>
      </c>
      <c r="R92" s="33">
        <f>VLOOKUP(A92,'[1]Kharif tonnage acres2025'!A92:C1882,2,FALSE)</f>
        <v>10.08</v>
      </c>
      <c r="S92" s="33">
        <f>VLOOKUP(A92,'[1]Kharif tonnage acres2025'!A91:C1882,3,FALSE)</f>
        <v>100</v>
      </c>
      <c r="T92" s="32" t="s">
        <v>332</v>
      </c>
    </row>
    <row r="93" spans="1:20" ht="16.5" customHeight="1" thickBot="1" x14ac:dyDescent="0.25">
      <c r="A93" s="36">
        <v>1723882752617</v>
      </c>
      <c r="B93" s="36">
        <v>182</v>
      </c>
      <c r="C93" s="36">
        <v>17.47</v>
      </c>
      <c r="D93" s="36">
        <v>1</v>
      </c>
      <c r="E93" s="36">
        <v>13.75</v>
      </c>
      <c r="F93" s="36">
        <v>3.72</v>
      </c>
      <c r="G93" s="36">
        <v>1.29</v>
      </c>
      <c r="H93" s="36">
        <v>1.02</v>
      </c>
      <c r="I93" s="36">
        <v>0.27</v>
      </c>
      <c r="J93" s="37">
        <f>G93/3</f>
        <v>0.43</v>
      </c>
      <c r="K93" s="37">
        <f>H93/3</f>
        <v>0.34</v>
      </c>
      <c r="L93" s="37">
        <f t="shared" si="15"/>
        <v>8.9999999999999969E-2</v>
      </c>
      <c r="M93" s="34">
        <f t="shared" si="16"/>
        <v>0.26470588235294107</v>
      </c>
      <c r="N93" s="35">
        <f t="shared" si="17"/>
        <v>17.401480799999998</v>
      </c>
      <c r="O93" s="35">
        <f t="shared" si="18"/>
        <v>13.7593104</v>
      </c>
      <c r="P93" s="33">
        <f t="shared" si="19"/>
        <v>3.6421703999999977</v>
      </c>
      <c r="Q93" s="34">
        <f t="shared" si="20"/>
        <v>0.26470588235294101</v>
      </c>
      <c r="R93" s="33">
        <f>VLOOKUP(A93,'[1]Kharif tonnage acres2025'!A93:C1883,2,FALSE)</f>
        <v>18.7</v>
      </c>
      <c r="S93" s="33">
        <f>VLOOKUP(A93,'[1]Kharif tonnage acres2025'!A92:C1883,3,FALSE)</f>
        <v>205</v>
      </c>
      <c r="T93" s="32" t="s">
        <v>331</v>
      </c>
    </row>
    <row r="94" spans="1:20" ht="16.5" customHeight="1" thickBot="1" x14ac:dyDescent="0.25">
      <c r="A94" s="36">
        <v>1745559724382</v>
      </c>
      <c r="B94" s="36">
        <v>939</v>
      </c>
      <c r="C94" s="36">
        <v>17</v>
      </c>
      <c r="D94" s="36">
        <v>4</v>
      </c>
      <c r="E94" s="36">
        <v>15</v>
      </c>
      <c r="F94" s="36">
        <v>2</v>
      </c>
      <c r="G94" s="36">
        <v>0.42</v>
      </c>
      <c r="H94" s="36">
        <v>0.37</v>
      </c>
      <c r="I94" s="36">
        <v>0.05</v>
      </c>
      <c r="J94" s="36">
        <f>G94</f>
        <v>0.42</v>
      </c>
      <c r="K94" s="36">
        <f>H94</f>
        <v>0.37</v>
      </c>
      <c r="L94" s="36">
        <f t="shared" si="15"/>
        <v>4.9999999999999989E-2</v>
      </c>
      <c r="M94" s="34">
        <f t="shared" si="16"/>
        <v>0.13513513513513511</v>
      </c>
      <c r="N94" s="35">
        <f t="shared" si="17"/>
        <v>16.996795199999998</v>
      </c>
      <c r="O94" s="35">
        <f t="shared" si="18"/>
        <v>14.973367199999998</v>
      </c>
      <c r="P94" s="33">
        <f t="shared" si="19"/>
        <v>2.0234279999999991</v>
      </c>
      <c r="Q94" s="34">
        <f t="shared" si="20"/>
        <v>0.13513513513513509</v>
      </c>
      <c r="R94" s="33">
        <f>VLOOKUP(A94,'[1]Kharif tonnage acres2025'!A94:C1884,2,FALSE)</f>
        <v>0</v>
      </c>
      <c r="S94" s="33">
        <f>VLOOKUP(A94,'[1]Kharif tonnage acres2025'!A93:C1884,3,FALSE)</f>
        <v>3.62</v>
      </c>
      <c r="T94" s="32" t="s">
        <v>333</v>
      </c>
    </row>
    <row r="95" spans="1:20" ht="16.5" customHeight="1" thickBot="1" x14ac:dyDescent="0.25">
      <c r="A95" s="36">
        <v>1729138312697</v>
      </c>
      <c r="B95" s="36">
        <v>132</v>
      </c>
      <c r="C95" s="36">
        <v>15.81</v>
      </c>
      <c r="D95" s="36">
        <v>1</v>
      </c>
      <c r="E95" s="36">
        <v>12.29</v>
      </c>
      <c r="F95" s="36">
        <v>3.52</v>
      </c>
      <c r="G95" s="36">
        <v>1.17</v>
      </c>
      <c r="H95" s="36">
        <v>0.91</v>
      </c>
      <c r="I95" s="36">
        <v>0.26</v>
      </c>
      <c r="J95" s="37">
        <f t="shared" ref="J95:K97" si="25">G95/3</f>
        <v>0.38999999999999996</v>
      </c>
      <c r="K95" s="37">
        <f t="shared" si="25"/>
        <v>0.30333333333333334</v>
      </c>
      <c r="L95" s="37">
        <f t="shared" si="15"/>
        <v>8.6666666666666614E-2</v>
      </c>
      <c r="M95" s="34">
        <f t="shared" si="16"/>
        <v>0.28571428571428553</v>
      </c>
      <c r="N95" s="35">
        <f t="shared" si="17"/>
        <v>15.782738399999998</v>
      </c>
      <c r="O95" s="35">
        <f t="shared" si="18"/>
        <v>12.275463199999999</v>
      </c>
      <c r="P95" s="33">
        <f t="shared" si="19"/>
        <v>3.5072751999999987</v>
      </c>
      <c r="Q95" s="34">
        <f t="shared" si="20"/>
        <v>0.28571428571428564</v>
      </c>
      <c r="R95" s="33">
        <f>VLOOKUP(A95,'[1]Kharif tonnage acres2025'!A95:C1885,2,FALSE)</f>
        <v>19.87</v>
      </c>
      <c r="S95" s="33">
        <f>VLOOKUP(A95,'[1]Kharif tonnage acres2025'!A94:C1885,3,FALSE)</f>
        <v>205</v>
      </c>
      <c r="T95" s="32" t="s">
        <v>334</v>
      </c>
    </row>
    <row r="96" spans="1:20" ht="16.5" customHeight="1" thickBot="1" x14ac:dyDescent="0.25">
      <c r="A96" s="36">
        <v>1745828642300</v>
      </c>
      <c r="B96" s="36">
        <v>182</v>
      </c>
      <c r="C96" s="36">
        <v>16.5</v>
      </c>
      <c r="D96" s="36">
        <v>1</v>
      </c>
      <c r="E96" s="36">
        <v>15.37</v>
      </c>
      <c r="F96" s="36">
        <v>1.1299999999999999</v>
      </c>
      <c r="G96" s="36">
        <v>1.23</v>
      </c>
      <c r="H96" s="36">
        <v>1.1399999999999999</v>
      </c>
      <c r="I96" s="36">
        <v>0.09</v>
      </c>
      <c r="J96" s="37">
        <f t="shared" si="25"/>
        <v>0.41</v>
      </c>
      <c r="K96" s="37">
        <f t="shared" si="25"/>
        <v>0.37999999999999995</v>
      </c>
      <c r="L96" s="37">
        <f t="shared" si="15"/>
        <v>3.0000000000000027E-2</v>
      </c>
      <c r="M96" s="34">
        <f t="shared" si="16"/>
        <v>7.894736842105271E-2</v>
      </c>
      <c r="N96" s="35">
        <f t="shared" si="17"/>
        <v>16.592109599999997</v>
      </c>
      <c r="O96" s="35">
        <f t="shared" si="18"/>
        <v>15.378052799999997</v>
      </c>
      <c r="P96" s="33">
        <f t="shared" si="19"/>
        <v>1.2140567999999998</v>
      </c>
      <c r="Q96" s="34">
        <f t="shared" si="20"/>
        <v>7.8947368421052641E-2</v>
      </c>
      <c r="R96" s="33">
        <f>VLOOKUP(A96,'[1]Kharif tonnage acres2025'!A96:C1886,2,FALSE)</f>
        <v>18.77</v>
      </c>
      <c r="S96" s="33">
        <f>VLOOKUP(A96,'[1]Kharif tonnage acres2025'!A95:C1886,3,FALSE)</f>
        <v>210</v>
      </c>
      <c r="T96" s="32" t="s">
        <v>335</v>
      </c>
    </row>
    <row r="97" spans="1:20" ht="16.5" customHeight="1" thickBot="1" x14ac:dyDescent="0.25">
      <c r="A97" s="36">
        <v>1745921111183</v>
      </c>
      <c r="B97" s="36">
        <v>182</v>
      </c>
      <c r="C97" s="36">
        <v>14.88</v>
      </c>
      <c r="D97" s="36">
        <v>1</v>
      </c>
      <c r="E97" s="36">
        <v>11.12</v>
      </c>
      <c r="F97" s="36">
        <v>3.76</v>
      </c>
      <c r="G97" s="36">
        <v>1.1000000000000001</v>
      </c>
      <c r="H97" s="36">
        <v>0.82</v>
      </c>
      <c r="I97" s="36">
        <v>0.28000000000000003</v>
      </c>
      <c r="J97" s="37">
        <f t="shared" si="25"/>
        <v>0.3666666666666667</v>
      </c>
      <c r="K97" s="37">
        <f t="shared" si="25"/>
        <v>0.27333333333333332</v>
      </c>
      <c r="L97" s="37">
        <f t="shared" si="15"/>
        <v>9.3333333333333379E-2</v>
      </c>
      <c r="M97" s="34">
        <f t="shared" si="16"/>
        <v>0.34146341463414653</v>
      </c>
      <c r="N97" s="35">
        <f t="shared" si="17"/>
        <v>14.838471999999999</v>
      </c>
      <c r="O97" s="35">
        <f t="shared" si="18"/>
        <v>11.061406399999999</v>
      </c>
      <c r="P97" s="33">
        <f t="shared" si="19"/>
        <v>3.7770656000000002</v>
      </c>
      <c r="Q97" s="34">
        <f t="shared" si="20"/>
        <v>0.34146341463414637</v>
      </c>
      <c r="R97" s="33">
        <f>VLOOKUP(A97,'[1]Kharif tonnage acres2025'!A97:C1887,2,FALSE)</f>
        <v>21.86</v>
      </c>
      <c r="S97" s="33">
        <f>VLOOKUP(A97,'[1]Kharif tonnage acres2025'!A96:C1887,3,FALSE)</f>
        <v>235</v>
      </c>
      <c r="T97" s="32" t="s">
        <v>336</v>
      </c>
    </row>
    <row r="98" spans="1:20" ht="16.5" customHeight="1" thickBot="1" x14ac:dyDescent="0.25">
      <c r="A98" s="36">
        <v>1746422874580</v>
      </c>
      <c r="B98" s="36">
        <v>939</v>
      </c>
      <c r="C98" s="36">
        <v>17</v>
      </c>
      <c r="D98" s="36">
        <v>4</v>
      </c>
      <c r="E98" s="36">
        <v>15.5</v>
      </c>
      <c r="F98" s="36">
        <v>1.5</v>
      </c>
      <c r="G98" s="36">
        <v>0.42</v>
      </c>
      <c r="H98" s="36">
        <v>0.38</v>
      </c>
      <c r="I98" s="36">
        <v>0.04</v>
      </c>
      <c r="J98" s="36">
        <f>G98</f>
        <v>0.42</v>
      </c>
      <c r="K98" s="36">
        <f>H98</f>
        <v>0.38</v>
      </c>
      <c r="L98" s="36">
        <f t="shared" si="15"/>
        <v>3.999999999999998E-2</v>
      </c>
      <c r="M98" s="34">
        <f t="shared" si="16"/>
        <v>0.10526315789473679</v>
      </c>
      <c r="N98" s="35">
        <f t="shared" si="17"/>
        <v>16.996795199999998</v>
      </c>
      <c r="O98" s="35">
        <f t="shared" si="18"/>
        <v>15.378052799999999</v>
      </c>
      <c r="P98" s="33">
        <f t="shared" si="19"/>
        <v>1.6187423999999986</v>
      </c>
      <c r="Q98" s="34">
        <f t="shared" si="20"/>
        <v>0.10526315789473675</v>
      </c>
      <c r="R98" s="33">
        <f>VLOOKUP(A98,'[1]Kharif tonnage acres2025'!A98:C1888,2,FALSE)</f>
        <v>0</v>
      </c>
      <c r="S98" s="33">
        <f>VLOOKUP(A98,'[1]Kharif tonnage acres2025'!A97:C1888,3,FALSE)</f>
        <v>16.25</v>
      </c>
      <c r="T98" s="32" t="s">
        <v>337</v>
      </c>
    </row>
    <row r="99" spans="1:20" ht="16.5" customHeight="1" thickBot="1" x14ac:dyDescent="0.25">
      <c r="A99" s="36">
        <v>1737790868899</v>
      </c>
      <c r="B99" s="36">
        <v>939</v>
      </c>
      <c r="C99" s="36">
        <v>16</v>
      </c>
      <c r="D99" s="36">
        <v>4</v>
      </c>
      <c r="E99" s="36">
        <v>14.5</v>
      </c>
      <c r="F99" s="36">
        <v>1.5</v>
      </c>
      <c r="G99" s="36">
        <v>0.4</v>
      </c>
      <c r="H99" s="36">
        <v>0.36</v>
      </c>
      <c r="I99" s="36">
        <v>0.04</v>
      </c>
      <c r="J99" s="36">
        <f>G99</f>
        <v>0.4</v>
      </c>
      <c r="K99" s="36">
        <f>H99</f>
        <v>0.36</v>
      </c>
      <c r="L99" s="36">
        <f t="shared" si="15"/>
        <v>4.0000000000000036E-2</v>
      </c>
      <c r="M99" s="34">
        <f t="shared" si="16"/>
        <v>0.11111111111111122</v>
      </c>
      <c r="N99" s="35">
        <f t="shared" si="17"/>
        <v>16.187424</v>
      </c>
      <c r="O99" s="35">
        <f t="shared" si="18"/>
        <v>14.568681599999998</v>
      </c>
      <c r="P99" s="33">
        <f t="shared" si="19"/>
        <v>1.6187424000000021</v>
      </c>
      <c r="Q99" s="34">
        <f t="shared" si="20"/>
        <v>0.11111111111111127</v>
      </c>
      <c r="R99" s="33">
        <f>VLOOKUP(A99,'[1]Kharif tonnage acres2025'!A99:C1889,2,FALSE)</f>
        <v>0</v>
      </c>
      <c r="S99" s="33">
        <f>VLOOKUP(A99,'[1]Kharif tonnage acres2025'!A98:C1889,3,FALSE)</f>
        <v>8.56</v>
      </c>
      <c r="T99" s="32" t="s">
        <v>338</v>
      </c>
    </row>
    <row r="100" spans="1:20" ht="16.5" customHeight="1" thickBot="1" x14ac:dyDescent="0.25">
      <c r="A100" s="36">
        <v>1726729061453</v>
      </c>
      <c r="B100" s="36">
        <v>55</v>
      </c>
      <c r="C100" s="36">
        <v>16.38</v>
      </c>
      <c r="D100" s="36">
        <v>1</v>
      </c>
      <c r="E100" s="36">
        <v>13.27</v>
      </c>
      <c r="F100" s="36">
        <v>3.1</v>
      </c>
      <c r="G100" s="36">
        <v>1.21</v>
      </c>
      <c r="H100" s="36">
        <v>0.98</v>
      </c>
      <c r="I100" s="36">
        <v>0.23</v>
      </c>
      <c r="J100" s="37">
        <f t="shared" ref="J100:K103" si="26">G100/3</f>
        <v>0.40333333333333332</v>
      </c>
      <c r="K100" s="37">
        <f t="shared" si="26"/>
        <v>0.32666666666666666</v>
      </c>
      <c r="L100" s="37">
        <f t="shared" si="15"/>
        <v>7.6666666666666661E-2</v>
      </c>
      <c r="M100" s="34">
        <f t="shared" si="16"/>
        <v>0.23469387755102039</v>
      </c>
      <c r="N100" s="35">
        <f t="shared" si="17"/>
        <v>16.322319199999999</v>
      </c>
      <c r="O100" s="35">
        <f t="shared" si="18"/>
        <v>13.219729599999999</v>
      </c>
      <c r="P100" s="33">
        <f t="shared" si="19"/>
        <v>3.1025895999999999</v>
      </c>
      <c r="Q100" s="34">
        <f t="shared" si="20"/>
        <v>0.23469387755102042</v>
      </c>
      <c r="R100" s="33">
        <f>VLOOKUP(A100,'[1]Kharif tonnage acres2025'!A100:C1890,2,FALSE)</f>
        <v>23.66</v>
      </c>
      <c r="S100" s="33">
        <f>VLOOKUP(A100,'[1]Kharif tonnage acres2025'!A99:C1890,3,FALSE)</f>
        <v>225</v>
      </c>
      <c r="T100" s="32" t="s">
        <v>339</v>
      </c>
    </row>
    <row r="101" spans="1:20" ht="16.5" customHeight="1" thickBot="1" x14ac:dyDescent="0.25">
      <c r="A101" s="36">
        <v>1726729012955</v>
      </c>
      <c r="B101" s="36">
        <v>55</v>
      </c>
      <c r="C101" s="36">
        <v>16.66</v>
      </c>
      <c r="D101" s="36">
        <v>1</v>
      </c>
      <c r="E101" s="36">
        <v>13.06</v>
      </c>
      <c r="F101" s="36">
        <v>3.6</v>
      </c>
      <c r="G101" s="36">
        <v>1.23</v>
      </c>
      <c r="H101" s="36">
        <v>0.96</v>
      </c>
      <c r="I101" s="36">
        <v>0.27</v>
      </c>
      <c r="J101" s="37">
        <f t="shared" si="26"/>
        <v>0.41</v>
      </c>
      <c r="K101" s="37">
        <f t="shared" si="26"/>
        <v>0.32</v>
      </c>
      <c r="L101" s="37">
        <f t="shared" si="15"/>
        <v>8.9999999999999969E-2</v>
      </c>
      <c r="M101" s="34">
        <f t="shared" si="16"/>
        <v>0.28124999999999989</v>
      </c>
      <c r="N101" s="35">
        <f t="shared" si="17"/>
        <v>16.592109599999997</v>
      </c>
      <c r="O101" s="35">
        <f t="shared" si="18"/>
        <v>12.949939199999999</v>
      </c>
      <c r="P101" s="33">
        <f t="shared" si="19"/>
        <v>3.6421703999999977</v>
      </c>
      <c r="Q101" s="34">
        <f t="shared" si="20"/>
        <v>0.28124999999999983</v>
      </c>
      <c r="R101" s="33">
        <f>VLOOKUP(A101,'[1]Kharif tonnage acres2025'!A101:C1891,2,FALSE)</f>
        <v>12.77</v>
      </c>
      <c r="S101" s="33">
        <f>VLOOKUP(A101,'[1]Kharif tonnage acres2025'!A100:C1891,3,FALSE)</f>
        <v>135</v>
      </c>
      <c r="T101" s="32" t="s">
        <v>340</v>
      </c>
    </row>
    <row r="102" spans="1:20" ht="16.5" customHeight="1" thickBot="1" x14ac:dyDescent="0.25">
      <c r="A102" s="36">
        <v>1727059291255</v>
      </c>
      <c r="B102" s="36">
        <v>55</v>
      </c>
      <c r="C102" s="36">
        <v>15.61</v>
      </c>
      <c r="D102" s="36">
        <v>1</v>
      </c>
      <c r="E102" s="36">
        <v>14.36</v>
      </c>
      <c r="F102" s="36">
        <v>1.25</v>
      </c>
      <c r="G102" s="36">
        <v>1.1499999999999999</v>
      </c>
      <c r="H102" s="36">
        <v>1.06</v>
      </c>
      <c r="I102" s="36">
        <v>0.09</v>
      </c>
      <c r="J102" s="37">
        <f t="shared" si="26"/>
        <v>0.3833333333333333</v>
      </c>
      <c r="K102" s="37">
        <f t="shared" si="26"/>
        <v>0.35333333333333333</v>
      </c>
      <c r="L102" s="37">
        <f t="shared" si="15"/>
        <v>2.9999999999999971E-2</v>
      </c>
      <c r="M102" s="34">
        <f t="shared" si="16"/>
        <v>8.4905660377358402E-2</v>
      </c>
      <c r="N102" s="35">
        <f t="shared" si="17"/>
        <v>15.512947999999998</v>
      </c>
      <c r="O102" s="35">
        <f t="shared" si="18"/>
        <v>14.298891199999998</v>
      </c>
      <c r="P102" s="33">
        <f t="shared" si="19"/>
        <v>1.2140567999999998</v>
      </c>
      <c r="Q102" s="34">
        <f t="shared" si="20"/>
        <v>8.4905660377358486E-2</v>
      </c>
      <c r="R102" s="33">
        <f>VLOOKUP(A102,'[1]Kharif tonnage acres2025'!A102:C1892,2,FALSE)</f>
        <v>2.54</v>
      </c>
      <c r="S102" s="33">
        <f>VLOOKUP(A102,'[1]Kharif tonnage acres2025'!A101:C1892,3,FALSE)</f>
        <v>25</v>
      </c>
      <c r="T102" s="32" t="s">
        <v>341</v>
      </c>
    </row>
    <row r="103" spans="1:20" ht="16.5" customHeight="1" thickBot="1" x14ac:dyDescent="0.25">
      <c r="A103" s="36">
        <v>2094</v>
      </c>
      <c r="B103" s="36">
        <v>132</v>
      </c>
      <c r="C103" s="36">
        <v>13.35</v>
      </c>
      <c r="D103" s="36">
        <v>1</v>
      </c>
      <c r="E103" s="36">
        <v>11.73</v>
      </c>
      <c r="F103" s="36">
        <v>1.62</v>
      </c>
      <c r="G103" s="36">
        <v>0.99</v>
      </c>
      <c r="H103" s="36">
        <v>0.87</v>
      </c>
      <c r="I103" s="36">
        <v>0.12</v>
      </c>
      <c r="J103" s="37">
        <f t="shared" si="26"/>
        <v>0.33</v>
      </c>
      <c r="K103" s="37">
        <f t="shared" si="26"/>
        <v>0.28999999999999998</v>
      </c>
      <c r="L103" s="37">
        <f t="shared" si="15"/>
        <v>4.0000000000000036E-2</v>
      </c>
      <c r="M103" s="34">
        <f t="shared" si="16"/>
        <v>0.13793103448275876</v>
      </c>
      <c r="N103" s="35">
        <f t="shared" si="17"/>
        <v>13.3546248</v>
      </c>
      <c r="O103" s="35">
        <f t="shared" si="18"/>
        <v>11.735882399999998</v>
      </c>
      <c r="P103" s="33">
        <f t="shared" si="19"/>
        <v>1.6187424000000021</v>
      </c>
      <c r="Q103" s="34">
        <f t="shared" si="20"/>
        <v>0.13793103448275884</v>
      </c>
      <c r="R103" s="33">
        <f>VLOOKUP(A103,'[1]Kharif tonnage acres2025'!A103:C1893,2,FALSE)</f>
        <v>19.5</v>
      </c>
      <c r="S103" s="33">
        <f>VLOOKUP(A103,'[1]Kharif tonnage acres2025'!A102:C1893,3,FALSE)</f>
        <v>210</v>
      </c>
      <c r="T103" s="32" t="s">
        <v>342</v>
      </c>
    </row>
    <row r="104" spans="1:20" ht="16.5" customHeight="1" thickBot="1" x14ac:dyDescent="0.25">
      <c r="A104" s="36">
        <v>1738232623653</v>
      </c>
      <c r="B104" s="36">
        <v>939</v>
      </c>
      <c r="C104" s="36">
        <v>17.5</v>
      </c>
      <c r="D104" s="36">
        <v>4</v>
      </c>
      <c r="E104" s="36">
        <v>16</v>
      </c>
      <c r="F104" s="36">
        <v>1.5</v>
      </c>
      <c r="G104" s="36">
        <v>0.43</v>
      </c>
      <c r="H104" s="36">
        <v>0.39</v>
      </c>
      <c r="I104" s="36">
        <v>0.04</v>
      </c>
      <c r="J104" s="36">
        <f>G104</f>
        <v>0.43</v>
      </c>
      <c r="K104" s="36">
        <f>H104</f>
        <v>0.39</v>
      </c>
      <c r="L104" s="36">
        <f t="shared" si="15"/>
        <v>3.999999999999998E-2</v>
      </c>
      <c r="M104" s="34">
        <f t="shared" si="16"/>
        <v>0.10256410256410251</v>
      </c>
      <c r="N104" s="35">
        <f t="shared" si="17"/>
        <v>17.401480799999998</v>
      </c>
      <c r="O104" s="35">
        <f t="shared" si="18"/>
        <v>15.7827384</v>
      </c>
      <c r="P104" s="33">
        <f t="shared" si="19"/>
        <v>1.6187423999999986</v>
      </c>
      <c r="Q104" s="34">
        <f t="shared" si="20"/>
        <v>0.10256410256410248</v>
      </c>
      <c r="R104" s="33">
        <f>VLOOKUP(A104,'[1]Kharif tonnage acres2025'!A104:C1894,2,FALSE)</f>
        <v>0</v>
      </c>
      <c r="S104" s="33">
        <f>VLOOKUP(A104,'[1]Kharif tonnage acres2025'!A103:C1894,3,FALSE)</f>
        <v>4.67</v>
      </c>
      <c r="T104" s="32" t="s">
        <v>343</v>
      </c>
    </row>
    <row r="105" spans="1:20" ht="16.5" customHeight="1" thickBot="1" x14ac:dyDescent="0.25">
      <c r="A105" s="36">
        <v>1730271485859</v>
      </c>
      <c r="B105" s="36">
        <v>947</v>
      </c>
      <c r="C105" s="36">
        <v>18.2</v>
      </c>
      <c r="D105" s="36">
        <v>1</v>
      </c>
      <c r="E105" s="36">
        <v>14.56</v>
      </c>
      <c r="F105" s="36">
        <v>3.64</v>
      </c>
      <c r="G105" s="36">
        <v>1.35</v>
      </c>
      <c r="H105" s="36">
        <v>1.08</v>
      </c>
      <c r="I105" s="36">
        <v>0.27</v>
      </c>
      <c r="J105" s="37">
        <f>G105/3</f>
        <v>0.45</v>
      </c>
      <c r="K105" s="37">
        <f>H105/3</f>
        <v>0.36000000000000004</v>
      </c>
      <c r="L105" s="37">
        <f t="shared" si="15"/>
        <v>8.9999999999999969E-2</v>
      </c>
      <c r="M105" s="34">
        <f t="shared" si="16"/>
        <v>0.24999999999999989</v>
      </c>
      <c r="N105" s="35">
        <f t="shared" si="17"/>
        <v>18.210851999999999</v>
      </c>
      <c r="O105" s="35">
        <f t="shared" si="18"/>
        <v>14.5686816</v>
      </c>
      <c r="P105" s="33">
        <f t="shared" si="19"/>
        <v>3.6421703999999995</v>
      </c>
      <c r="Q105" s="34">
        <f t="shared" si="20"/>
        <v>0.24999999999999997</v>
      </c>
      <c r="R105" s="33">
        <f>VLOOKUP(A105,'[1]Kharif tonnage acres2025'!A105:C1895,2,FALSE)</f>
        <v>15.06</v>
      </c>
      <c r="S105" s="33">
        <f>VLOOKUP(A105,'[1]Kharif tonnage acres2025'!A104:C1895,3,FALSE)</f>
        <v>130</v>
      </c>
      <c r="T105" s="32" t="s">
        <v>344</v>
      </c>
    </row>
    <row r="106" spans="1:20" ht="16.5" customHeight="1" thickBot="1" x14ac:dyDescent="0.25">
      <c r="A106" s="38">
        <v>1748597683444</v>
      </c>
      <c r="B106" s="36">
        <v>1094</v>
      </c>
      <c r="C106" s="36">
        <v>28.73</v>
      </c>
      <c r="D106" s="36">
        <v>13</v>
      </c>
      <c r="E106" s="36">
        <v>24.68</v>
      </c>
      <c r="F106" s="36">
        <v>4.05</v>
      </c>
      <c r="G106" s="36">
        <v>0.71</v>
      </c>
      <c r="H106" s="36">
        <v>0.61</v>
      </c>
      <c r="I106" s="36">
        <v>0.1</v>
      </c>
      <c r="J106" s="36">
        <f t="shared" ref="J106:K111" si="27">G106</f>
        <v>0.71</v>
      </c>
      <c r="K106" s="36">
        <f t="shared" si="27"/>
        <v>0.61</v>
      </c>
      <c r="L106" s="36">
        <f t="shared" si="15"/>
        <v>9.9999999999999978E-2</v>
      </c>
      <c r="M106" s="34">
        <f t="shared" si="16"/>
        <v>0.16393442622950816</v>
      </c>
      <c r="N106" s="35">
        <f t="shared" si="17"/>
        <v>28.732677599999995</v>
      </c>
      <c r="O106" s="35">
        <f t="shared" si="18"/>
        <v>24.685821599999997</v>
      </c>
      <c r="P106" s="33">
        <f t="shared" si="19"/>
        <v>4.0468559999999982</v>
      </c>
      <c r="Q106" s="34">
        <f t="shared" si="20"/>
        <v>0.16393442622950816</v>
      </c>
      <c r="R106" s="33">
        <v>4.4400000000000004</v>
      </c>
      <c r="S106" s="33">
        <v>45</v>
      </c>
      <c r="T106" s="32" t="s">
        <v>345</v>
      </c>
    </row>
    <row r="107" spans="1:20" ht="16.5" customHeight="1" thickBot="1" x14ac:dyDescent="0.25">
      <c r="A107" s="36">
        <v>1715928008965</v>
      </c>
      <c r="B107" s="36">
        <v>845</v>
      </c>
      <c r="C107" s="36">
        <v>16.5</v>
      </c>
      <c r="D107" s="36">
        <v>2</v>
      </c>
      <c r="E107" s="36">
        <v>15.5</v>
      </c>
      <c r="F107" s="36">
        <v>1</v>
      </c>
      <c r="G107" s="36">
        <v>0.41</v>
      </c>
      <c r="H107" s="36">
        <v>0.38</v>
      </c>
      <c r="I107" s="36">
        <v>0.03</v>
      </c>
      <c r="J107" s="36">
        <f t="shared" si="27"/>
        <v>0.41</v>
      </c>
      <c r="K107" s="36">
        <f t="shared" si="27"/>
        <v>0.38</v>
      </c>
      <c r="L107" s="36">
        <f t="shared" si="15"/>
        <v>2.9999999999999971E-2</v>
      </c>
      <c r="M107" s="34">
        <f t="shared" si="16"/>
        <v>7.8947368421052558E-2</v>
      </c>
      <c r="N107" s="35">
        <f t="shared" si="17"/>
        <v>16.592109599999997</v>
      </c>
      <c r="O107" s="35">
        <f t="shared" si="18"/>
        <v>15.378052799999999</v>
      </c>
      <c r="P107" s="33">
        <f t="shared" si="19"/>
        <v>1.214056799999998</v>
      </c>
      <c r="Q107" s="34">
        <f t="shared" si="20"/>
        <v>7.8947368421052516E-2</v>
      </c>
      <c r="R107" s="33">
        <f>VLOOKUP(A107,'[1]Kharif tonnage acres2025'!A107:C1897,2,FALSE)</f>
        <v>9.9</v>
      </c>
      <c r="S107" s="33">
        <f>VLOOKUP(A107,'[1]Kharif tonnage acres2025'!A106:C1897,3,FALSE)</f>
        <v>100</v>
      </c>
      <c r="T107" s="32" t="s">
        <v>346</v>
      </c>
    </row>
    <row r="108" spans="1:20" ht="16.5" customHeight="1" thickBot="1" x14ac:dyDescent="0.25">
      <c r="A108" s="36">
        <v>1715926256732</v>
      </c>
      <c r="B108" s="36">
        <v>845</v>
      </c>
      <c r="C108" s="36">
        <v>14.9</v>
      </c>
      <c r="D108" s="36">
        <v>2</v>
      </c>
      <c r="E108" s="36">
        <v>7.6</v>
      </c>
      <c r="F108" s="36">
        <v>7.3</v>
      </c>
      <c r="G108" s="36">
        <v>0.37</v>
      </c>
      <c r="H108" s="36">
        <v>0.19</v>
      </c>
      <c r="I108" s="36">
        <v>0.18</v>
      </c>
      <c r="J108" s="36">
        <f t="shared" si="27"/>
        <v>0.37</v>
      </c>
      <c r="K108" s="36">
        <f t="shared" si="27"/>
        <v>0.19</v>
      </c>
      <c r="L108" s="36">
        <f t="shared" si="15"/>
        <v>0.18</v>
      </c>
      <c r="M108" s="34">
        <f t="shared" si="16"/>
        <v>0.94736842105263153</v>
      </c>
      <c r="N108" s="35">
        <f t="shared" si="17"/>
        <v>14.973367199999998</v>
      </c>
      <c r="O108" s="35">
        <f t="shared" si="18"/>
        <v>7.6890263999999995</v>
      </c>
      <c r="P108" s="33">
        <f t="shared" si="19"/>
        <v>7.2843407999999989</v>
      </c>
      <c r="Q108" s="34">
        <f t="shared" si="20"/>
        <v>0.94736842105263153</v>
      </c>
      <c r="R108" s="33">
        <f>VLOOKUP(A108,'[1]Kharif tonnage acres2025'!A108:C1898,2,FALSE)</f>
        <v>16.579999999999998</v>
      </c>
      <c r="S108" s="33">
        <f>VLOOKUP(A108,'[1]Kharif tonnage acres2025'!A107:C1898,3,FALSE)</f>
        <v>170</v>
      </c>
      <c r="T108" s="32" t="s">
        <v>347</v>
      </c>
    </row>
    <row r="109" spans="1:20" ht="16.5" customHeight="1" thickBot="1" x14ac:dyDescent="0.25">
      <c r="A109" s="36">
        <v>1747307907872</v>
      </c>
      <c r="B109" s="36">
        <v>940</v>
      </c>
      <c r="C109" s="36">
        <v>17</v>
      </c>
      <c r="D109" s="36">
        <v>4</v>
      </c>
      <c r="E109" s="36">
        <v>16</v>
      </c>
      <c r="F109" s="36">
        <v>1</v>
      </c>
      <c r="G109" s="36">
        <v>0.4</v>
      </c>
      <c r="H109" s="36">
        <v>0.38</v>
      </c>
      <c r="I109" s="36">
        <v>0.02</v>
      </c>
      <c r="J109" s="36">
        <f t="shared" si="27"/>
        <v>0.4</v>
      </c>
      <c r="K109" s="36">
        <f t="shared" si="27"/>
        <v>0.38</v>
      </c>
      <c r="L109" s="36">
        <f t="shared" si="15"/>
        <v>2.0000000000000018E-2</v>
      </c>
      <c r="M109" s="34">
        <f t="shared" si="16"/>
        <v>5.2631578947368467E-2</v>
      </c>
      <c r="N109" s="35">
        <f t="shared" si="17"/>
        <v>16.187424</v>
      </c>
      <c r="O109" s="35">
        <f t="shared" si="18"/>
        <v>15.378052799999999</v>
      </c>
      <c r="P109" s="33">
        <f t="shared" si="19"/>
        <v>0.80937120000000107</v>
      </c>
      <c r="Q109" s="34">
        <f t="shared" si="20"/>
        <v>5.2631578947368494E-2</v>
      </c>
      <c r="R109" s="33">
        <f>VLOOKUP(A109,'[1]Kharif tonnage acres2025'!A109:C1899,2,FALSE)</f>
        <v>0</v>
      </c>
      <c r="S109" s="33">
        <f>VLOOKUP(A109,'[1]Kharif tonnage acres2025'!A108:C1899,3,FALSE)</f>
        <v>4.45</v>
      </c>
      <c r="T109" s="32" t="s">
        <v>348</v>
      </c>
    </row>
    <row r="110" spans="1:20" ht="16.5" customHeight="1" thickBot="1" x14ac:dyDescent="0.25">
      <c r="A110" s="36">
        <v>1747638343387</v>
      </c>
      <c r="B110" s="36">
        <v>940</v>
      </c>
      <c r="C110" s="36">
        <v>17.25</v>
      </c>
      <c r="D110" s="36">
        <v>4</v>
      </c>
      <c r="E110" s="36">
        <v>15</v>
      </c>
      <c r="F110" s="36">
        <v>2.25</v>
      </c>
      <c r="G110" s="36">
        <v>0.43</v>
      </c>
      <c r="H110" s="36">
        <v>0.37</v>
      </c>
      <c r="I110" s="36">
        <v>0.06</v>
      </c>
      <c r="J110" s="36">
        <f t="shared" si="27"/>
        <v>0.43</v>
      </c>
      <c r="K110" s="36">
        <f t="shared" si="27"/>
        <v>0.37</v>
      </c>
      <c r="L110" s="36">
        <f t="shared" si="15"/>
        <v>0.06</v>
      </c>
      <c r="M110" s="34">
        <f t="shared" si="16"/>
        <v>0.16216216216216217</v>
      </c>
      <c r="N110" s="35">
        <f t="shared" si="17"/>
        <v>17.401480799999998</v>
      </c>
      <c r="O110" s="35">
        <f t="shared" si="18"/>
        <v>14.973367199999998</v>
      </c>
      <c r="P110" s="33">
        <f t="shared" si="19"/>
        <v>2.4281135999999996</v>
      </c>
      <c r="Q110" s="34">
        <f t="shared" si="20"/>
        <v>0.16216216216216214</v>
      </c>
      <c r="R110" s="33">
        <f>VLOOKUP(A110,'[1]Kharif tonnage acres2025'!A110:C1900,2,FALSE)</f>
        <v>0</v>
      </c>
      <c r="S110" s="33">
        <f>VLOOKUP(A110,'[1]Kharif tonnage acres2025'!A109:C1900,3,FALSE)</f>
        <v>3.85</v>
      </c>
      <c r="T110" s="32" t="s">
        <v>349</v>
      </c>
    </row>
    <row r="111" spans="1:20" ht="16.5" customHeight="1" thickBot="1" x14ac:dyDescent="0.25">
      <c r="A111" s="36">
        <v>1742961660903</v>
      </c>
      <c r="B111" s="36">
        <v>1037</v>
      </c>
      <c r="C111" s="36">
        <v>19</v>
      </c>
      <c r="D111" s="36">
        <v>4</v>
      </c>
      <c r="E111" s="36">
        <v>18</v>
      </c>
      <c r="F111" s="36">
        <v>1</v>
      </c>
      <c r="G111" s="36">
        <v>0.47</v>
      </c>
      <c r="H111" s="36">
        <v>0.45</v>
      </c>
      <c r="I111" s="36">
        <v>0.02</v>
      </c>
      <c r="J111" s="36">
        <f t="shared" si="27"/>
        <v>0.47</v>
      </c>
      <c r="K111" s="36">
        <f t="shared" si="27"/>
        <v>0.45</v>
      </c>
      <c r="L111" s="36">
        <f t="shared" si="15"/>
        <v>1.9999999999999962E-2</v>
      </c>
      <c r="M111" s="34">
        <f t="shared" si="16"/>
        <v>4.4444444444444363E-2</v>
      </c>
      <c r="N111" s="35">
        <f t="shared" si="17"/>
        <v>19.020223199999997</v>
      </c>
      <c r="O111" s="35">
        <f t="shared" si="18"/>
        <v>18.210851999999999</v>
      </c>
      <c r="P111" s="33">
        <f t="shared" si="19"/>
        <v>0.80937119999999751</v>
      </c>
      <c r="Q111" s="34">
        <f t="shared" si="20"/>
        <v>4.4444444444444307E-2</v>
      </c>
      <c r="R111" s="33">
        <f>VLOOKUP(A111,'[1]Kharif tonnage acres2025'!A111:C1901,2,FALSE)</f>
        <v>4.4800000000000004</v>
      </c>
      <c r="S111" s="33">
        <f>VLOOKUP(A111,'[1]Kharif tonnage acres2025'!A110:C1901,3,FALSE)</f>
        <v>65</v>
      </c>
      <c r="T111" s="32" t="s">
        <v>350</v>
      </c>
    </row>
    <row r="112" spans="1:20" ht="16.5" customHeight="1" thickBot="1" x14ac:dyDescent="0.25">
      <c r="A112" s="36">
        <v>1727071912351</v>
      </c>
      <c r="B112" s="36">
        <v>190</v>
      </c>
      <c r="C112" s="36">
        <v>19.010000000000002</v>
      </c>
      <c r="D112" s="36">
        <v>1</v>
      </c>
      <c r="E112" s="36">
        <v>14.92</v>
      </c>
      <c r="F112" s="36">
        <v>4.09</v>
      </c>
      <c r="G112" s="36">
        <v>1.41</v>
      </c>
      <c r="H112" s="36">
        <v>1.1000000000000001</v>
      </c>
      <c r="I112" s="36">
        <v>0.31</v>
      </c>
      <c r="J112" s="37">
        <f t="shared" ref="J112:K115" si="28">G112/3</f>
        <v>0.47</v>
      </c>
      <c r="K112" s="37">
        <f t="shared" si="28"/>
        <v>0.3666666666666667</v>
      </c>
      <c r="L112" s="37">
        <f t="shared" si="15"/>
        <v>0.10333333333333328</v>
      </c>
      <c r="M112" s="34">
        <f t="shared" si="16"/>
        <v>0.28181818181818163</v>
      </c>
      <c r="N112" s="35">
        <f t="shared" si="17"/>
        <v>19.020223199999997</v>
      </c>
      <c r="O112" s="35">
        <f t="shared" si="18"/>
        <v>14.838471999999999</v>
      </c>
      <c r="P112" s="33">
        <f t="shared" si="19"/>
        <v>4.1817511999999972</v>
      </c>
      <c r="Q112" s="34">
        <f t="shared" si="20"/>
        <v>0.28181818181818163</v>
      </c>
      <c r="R112" s="33">
        <f>VLOOKUP(A112,'[1]Kharif tonnage acres2025'!A112:C1902,2,FALSE)</f>
        <v>28.99</v>
      </c>
      <c r="S112" s="33">
        <f>VLOOKUP(A112,'[1]Kharif tonnage acres2025'!A111:C1902,3,FALSE)</f>
        <v>300</v>
      </c>
      <c r="T112" s="32" t="s">
        <v>351</v>
      </c>
    </row>
    <row r="113" spans="1:20" ht="16.5" customHeight="1" thickBot="1" x14ac:dyDescent="0.25">
      <c r="A113" s="36">
        <v>1727148521115</v>
      </c>
      <c r="B113" s="36">
        <v>190</v>
      </c>
      <c r="C113" s="36">
        <v>17.03</v>
      </c>
      <c r="D113" s="36">
        <v>1</v>
      </c>
      <c r="E113" s="36">
        <v>14.08</v>
      </c>
      <c r="F113" s="36">
        <v>2.95</v>
      </c>
      <c r="G113" s="36">
        <v>1.26</v>
      </c>
      <c r="H113" s="36">
        <v>1.04</v>
      </c>
      <c r="I113" s="36">
        <v>0.22</v>
      </c>
      <c r="J113" s="37">
        <f t="shared" si="28"/>
        <v>0.42</v>
      </c>
      <c r="K113" s="37">
        <f t="shared" si="28"/>
        <v>0.34666666666666668</v>
      </c>
      <c r="L113" s="37">
        <f t="shared" si="15"/>
        <v>7.3333333333333306E-2</v>
      </c>
      <c r="M113" s="34">
        <f t="shared" si="16"/>
        <v>0.21153846153846145</v>
      </c>
      <c r="N113" s="35">
        <f t="shared" si="17"/>
        <v>16.996795199999998</v>
      </c>
      <c r="O113" s="35">
        <f t="shared" si="18"/>
        <v>14.0291008</v>
      </c>
      <c r="P113" s="33">
        <f t="shared" si="19"/>
        <v>2.9676943999999974</v>
      </c>
      <c r="Q113" s="34">
        <f t="shared" si="20"/>
        <v>0.21153846153846134</v>
      </c>
      <c r="R113" s="33">
        <f>VLOOKUP(A113,'[1]Kharif tonnage acres2025'!A113:C1903,2,FALSE)</f>
        <v>6.24</v>
      </c>
      <c r="S113" s="33">
        <f>VLOOKUP(A113,'[1]Kharif tonnage acres2025'!A112:C1903,3,FALSE)</f>
        <v>65</v>
      </c>
      <c r="T113" s="32" t="s">
        <v>314</v>
      </c>
    </row>
    <row r="114" spans="1:20" ht="16.5" customHeight="1" thickBot="1" x14ac:dyDescent="0.25">
      <c r="A114" s="36">
        <v>1726815514669</v>
      </c>
      <c r="B114" s="36">
        <v>190</v>
      </c>
      <c r="C114" s="36">
        <v>14.48</v>
      </c>
      <c r="D114" s="36">
        <v>1</v>
      </c>
      <c r="E114" s="36">
        <v>12.01</v>
      </c>
      <c r="F114" s="36">
        <v>2.4700000000000002</v>
      </c>
      <c r="G114" s="36">
        <v>1.07</v>
      </c>
      <c r="H114" s="36">
        <v>0.89</v>
      </c>
      <c r="I114" s="36">
        <v>0.18</v>
      </c>
      <c r="J114" s="37">
        <f t="shared" si="28"/>
        <v>0.35666666666666669</v>
      </c>
      <c r="K114" s="37">
        <f t="shared" si="28"/>
        <v>0.29666666666666669</v>
      </c>
      <c r="L114" s="37">
        <f t="shared" si="15"/>
        <v>0.06</v>
      </c>
      <c r="M114" s="34">
        <f t="shared" si="16"/>
        <v>0.20224719101123592</v>
      </c>
      <c r="N114" s="35">
        <f t="shared" si="17"/>
        <v>14.433786399999999</v>
      </c>
      <c r="O114" s="35">
        <f t="shared" si="18"/>
        <v>12.005672799999999</v>
      </c>
      <c r="P114" s="33">
        <f t="shared" si="19"/>
        <v>2.4281135999999996</v>
      </c>
      <c r="Q114" s="34">
        <f t="shared" si="20"/>
        <v>0.20224719101123595</v>
      </c>
      <c r="R114" s="33">
        <f>VLOOKUP(A114,'[1]Kharif tonnage acres2025'!A114:C1904,2,FALSE)</f>
        <v>7.22</v>
      </c>
      <c r="S114" s="33">
        <f>VLOOKUP(A114,'[1]Kharif tonnage acres2025'!A113:C1904,3,FALSE)</f>
        <v>80</v>
      </c>
      <c r="T114" s="32" t="s">
        <v>352</v>
      </c>
    </row>
    <row r="115" spans="1:20" ht="16.5" customHeight="1" thickBot="1" x14ac:dyDescent="0.25">
      <c r="A115" s="36">
        <v>1726475147448</v>
      </c>
      <c r="B115" s="36">
        <v>190</v>
      </c>
      <c r="C115" s="36">
        <v>17.309999999999999</v>
      </c>
      <c r="D115" s="36">
        <v>1</v>
      </c>
      <c r="E115" s="36">
        <v>14.84</v>
      </c>
      <c r="F115" s="36">
        <v>2.4700000000000002</v>
      </c>
      <c r="G115" s="36">
        <v>1.28</v>
      </c>
      <c r="H115" s="36">
        <v>1.1000000000000001</v>
      </c>
      <c r="I115" s="36">
        <v>0.18</v>
      </c>
      <c r="J115" s="37">
        <f t="shared" si="28"/>
        <v>0.42666666666666669</v>
      </c>
      <c r="K115" s="37">
        <f t="shared" si="28"/>
        <v>0.3666666666666667</v>
      </c>
      <c r="L115" s="37">
        <f t="shared" si="15"/>
        <v>0.06</v>
      </c>
      <c r="M115" s="34">
        <f t="shared" si="16"/>
        <v>0.16363636363636361</v>
      </c>
      <c r="N115" s="35">
        <f t="shared" si="17"/>
        <v>17.266585599999999</v>
      </c>
      <c r="O115" s="35">
        <f t="shared" si="18"/>
        <v>14.838471999999999</v>
      </c>
      <c r="P115" s="33">
        <f t="shared" si="19"/>
        <v>2.4281135999999996</v>
      </c>
      <c r="Q115" s="34">
        <f t="shared" si="20"/>
        <v>0.16363636363636361</v>
      </c>
      <c r="R115" s="33">
        <f>VLOOKUP(A115,'[1]Kharif tonnage acres2025'!A115:C1905,2,FALSE)</f>
        <v>3.2</v>
      </c>
      <c r="S115" s="33">
        <f>VLOOKUP(A115,'[1]Kharif tonnage acres2025'!A114:C1905,3,FALSE)</f>
        <v>35</v>
      </c>
      <c r="T115" s="32" t="s">
        <v>351</v>
      </c>
    </row>
    <row r="116" spans="1:20" ht="16.5" customHeight="1" thickBot="1" x14ac:dyDescent="0.25">
      <c r="A116" s="36">
        <v>1726210854356</v>
      </c>
      <c r="B116" s="36">
        <v>845</v>
      </c>
      <c r="C116" s="36">
        <v>13.3</v>
      </c>
      <c r="D116" s="36">
        <v>2</v>
      </c>
      <c r="E116" s="36">
        <v>10.1</v>
      </c>
      <c r="F116" s="36">
        <v>3.2</v>
      </c>
      <c r="G116" s="36">
        <v>0.33</v>
      </c>
      <c r="H116" s="36">
        <v>0.25</v>
      </c>
      <c r="I116" s="36">
        <v>0.08</v>
      </c>
      <c r="J116" s="36">
        <f>G116</f>
        <v>0.33</v>
      </c>
      <c r="K116" s="36">
        <f>H116</f>
        <v>0.25</v>
      </c>
      <c r="L116" s="36">
        <f t="shared" si="15"/>
        <v>8.0000000000000016E-2</v>
      </c>
      <c r="M116" s="34">
        <f t="shared" si="16"/>
        <v>0.32000000000000006</v>
      </c>
      <c r="N116" s="35">
        <f t="shared" si="17"/>
        <v>13.3546248</v>
      </c>
      <c r="O116" s="35">
        <f t="shared" si="18"/>
        <v>10.117139999999999</v>
      </c>
      <c r="P116" s="33">
        <f t="shared" si="19"/>
        <v>3.2374848000000007</v>
      </c>
      <c r="Q116" s="34">
        <f t="shared" si="20"/>
        <v>0.32000000000000012</v>
      </c>
      <c r="R116" s="33">
        <f>VLOOKUP(A116,'[1]Kharif tonnage acres2025'!A116:C1906,2,FALSE)</f>
        <v>7.8</v>
      </c>
      <c r="S116" s="33">
        <f>VLOOKUP(A116,'[1]Kharif tonnage acres2025'!A115:C1906,3,FALSE)</f>
        <v>75</v>
      </c>
      <c r="T116" s="32" t="s">
        <v>353</v>
      </c>
    </row>
    <row r="117" spans="1:20" ht="16.5" customHeight="1" thickBot="1" x14ac:dyDescent="0.25">
      <c r="A117" s="38">
        <v>1747631698143</v>
      </c>
      <c r="B117" s="36">
        <v>1133</v>
      </c>
      <c r="C117" s="36">
        <v>22</v>
      </c>
      <c r="D117" s="36">
        <v>14</v>
      </c>
      <c r="E117" s="36">
        <v>19</v>
      </c>
      <c r="F117" s="36">
        <v>20</v>
      </c>
      <c r="G117" s="36">
        <v>3.07</v>
      </c>
      <c r="H117" s="36">
        <v>1.81</v>
      </c>
      <c r="I117" s="36">
        <v>1.86</v>
      </c>
      <c r="J117" s="36">
        <f>G117/3</f>
        <v>1.0233333333333332</v>
      </c>
      <c r="K117" s="36">
        <f>H117/3</f>
        <v>0.60333333333333339</v>
      </c>
      <c r="L117" s="36">
        <f t="shared" si="15"/>
        <v>0.41999999999999982</v>
      </c>
      <c r="M117" s="34">
        <f t="shared" si="16"/>
        <v>0.69613259668508254</v>
      </c>
      <c r="N117" s="35">
        <f t="shared" si="17"/>
        <v>41.412826399999993</v>
      </c>
      <c r="O117" s="35">
        <f t="shared" si="18"/>
        <v>24.416031199999999</v>
      </c>
      <c r="P117" s="33">
        <f t="shared" si="19"/>
        <v>16.996795199999994</v>
      </c>
      <c r="Q117" s="34">
        <f t="shared" si="20"/>
        <v>0.69613259668508265</v>
      </c>
      <c r="R117" s="33">
        <v>7.63</v>
      </c>
      <c r="S117" s="33">
        <v>80</v>
      </c>
      <c r="T117" s="32" t="s">
        <v>354</v>
      </c>
    </row>
    <row r="118" spans="1:20" ht="16.5" customHeight="1" thickBot="1" x14ac:dyDescent="0.25">
      <c r="A118" s="36">
        <v>1748669502562</v>
      </c>
      <c r="B118" s="36">
        <v>845</v>
      </c>
      <c r="C118" s="36">
        <v>15.5</v>
      </c>
      <c r="D118" s="36">
        <v>2</v>
      </c>
      <c r="E118" s="36">
        <v>9.3000000000000007</v>
      </c>
      <c r="F118" s="36">
        <v>6.2</v>
      </c>
      <c r="G118" s="36">
        <v>0.38</v>
      </c>
      <c r="H118" s="36">
        <v>0.23</v>
      </c>
      <c r="I118" s="36">
        <v>0.15</v>
      </c>
      <c r="J118" s="36">
        <f>G118</f>
        <v>0.38</v>
      </c>
      <c r="K118" s="36">
        <f>H118</f>
        <v>0.23</v>
      </c>
      <c r="L118" s="36">
        <f t="shared" si="15"/>
        <v>0.15</v>
      </c>
      <c r="M118" s="34">
        <f t="shared" si="16"/>
        <v>0.65217391304347816</v>
      </c>
      <c r="N118" s="35">
        <f t="shared" si="17"/>
        <v>15.378052799999999</v>
      </c>
      <c r="O118" s="35">
        <f t="shared" si="18"/>
        <v>9.3077687999999998</v>
      </c>
      <c r="P118" s="33">
        <f t="shared" si="19"/>
        <v>6.0702839999999991</v>
      </c>
      <c r="Q118" s="34">
        <f t="shared" si="20"/>
        <v>0.65217391304347816</v>
      </c>
      <c r="R118" s="33">
        <f>VLOOKUP(A118,'[1]Kharif tonnage acres2025'!A118:C1908,2,FALSE)</f>
        <v>12.04</v>
      </c>
      <c r="S118" s="33">
        <f>VLOOKUP(A118,'[1]Kharif tonnage acres2025'!A117:C1908,3,FALSE)</f>
        <v>115</v>
      </c>
      <c r="T118" s="32" t="s">
        <v>355</v>
      </c>
    </row>
    <row r="119" spans="1:20" ht="16.5" customHeight="1" thickBot="1" x14ac:dyDescent="0.25">
      <c r="A119" s="36">
        <v>1726467464650</v>
      </c>
      <c r="B119" s="36">
        <v>845</v>
      </c>
      <c r="C119" s="36">
        <v>23</v>
      </c>
      <c r="D119" s="36">
        <v>2</v>
      </c>
      <c r="E119" s="36">
        <v>12.1</v>
      </c>
      <c r="F119" s="36">
        <v>10.9</v>
      </c>
      <c r="G119" s="36">
        <v>0.56999999999999995</v>
      </c>
      <c r="H119" s="36">
        <v>0.3</v>
      </c>
      <c r="I119" s="36">
        <v>0.27</v>
      </c>
      <c r="J119" s="36">
        <f>G119</f>
        <v>0.56999999999999995</v>
      </c>
      <c r="K119" s="36">
        <f>H119</f>
        <v>0.3</v>
      </c>
      <c r="L119" s="36">
        <f t="shared" si="15"/>
        <v>0.26999999999999996</v>
      </c>
      <c r="M119" s="34">
        <f t="shared" si="16"/>
        <v>0.89999999999999991</v>
      </c>
      <c r="N119" s="35">
        <f t="shared" si="17"/>
        <v>23.067079199999995</v>
      </c>
      <c r="O119" s="35">
        <f t="shared" si="18"/>
        <v>12.140567999999998</v>
      </c>
      <c r="P119" s="33">
        <f t="shared" si="19"/>
        <v>10.926511199999997</v>
      </c>
      <c r="Q119" s="34">
        <f t="shared" si="20"/>
        <v>0.8999999999999998</v>
      </c>
      <c r="R119" s="33">
        <f>VLOOKUP(A119,'[1]Kharif tonnage acres2025'!A119:C1909,2,FALSE)</f>
        <v>7.69</v>
      </c>
      <c r="S119" s="33">
        <f>VLOOKUP(A119,'[1]Kharif tonnage acres2025'!A118:C1909,3,FALSE)</f>
        <v>75</v>
      </c>
      <c r="T119" s="32" t="s">
        <v>356</v>
      </c>
    </row>
    <row r="120" spans="1:20" ht="16.5" customHeight="1" thickBot="1" x14ac:dyDescent="0.25">
      <c r="A120" s="36">
        <v>2090</v>
      </c>
      <c r="B120" s="36">
        <v>132</v>
      </c>
      <c r="C120" s="36">
        <v>16.18</v>
      </c>
      <c r="D120" s="36">
        <v>1</v>
      </c>
      <c r="E120" s="36">
        <v>12.09</v>
      </c>
      <c r="F120" s="36">
        <v>4.09</v>
      </c>
      <c r="G120" s="36">
        <v>1.2</v>
      </c>
      <c r="H120" s="36">
        <v>0.89</v>
      </c>
      <c r="I120" s="36">
        <v>0.31</v>
      </c>
      <c r="J120" s="37">
        <f>G120/3</f>
        <v>0.39999999999999997</v>
      </c>
      <c r="K120" s="37">
        <f>H120/3</f>
        <v>0.29666666666666669</v>
      </c>
      <c r="L120" s="37">
        <f t="shared" si="15"/>
        <v>0.10333333333333328</v>
      </c>
      <c r="M120" s="34">
        <f t="shared" si="16"/>
        <v>0.34831460674157283</v>
      </c>
      <c r="N120" s="35">
        <f t="shared" si="17"/>
        <v>16.187423999999996</v>
      </c>
      <c r="O120" s="35">
        <f t="shared" si="18"/>
        <v>12.005672799999999</v>
      </c>
      <c r="P120" s="33">
        <f t="shared" si="19"/>
        <v>4.1817511999999972</v>
      </c>
      <c r="Q120" s="34">
        <f t="shared" si="20"/>
        <v>0.34831460674157283</v>
      </c>
      <c r="R120" s="33">
        <f>VLOOKUP(A120,'[1]Kharif tonnage acres2025'!A120:C1910,2,FALSE)</f>
        <v>20.92</v>
      </c>
      <c r="S120" s="33">
        <f>VLOOKUP(A120,'[1]Kharif tonnage acres2025'!A119:C1910,3,FALSE)</f>
        <v>200</v>
      </c>
      <c r="T120" s="32" t="s">
        <v>327</v>
      </c>
    </row>
    <row r="121" spans="1:20" ht="16.5" customHeight="1" thickBot="1" x14ac:dyDescent="0.25">
      <c r="A121" s="36">
        <v>1729054993949</v>
      </c>
      <c r="B121" s="36">
        <v>132</v>
      </c>
      <c r="C121" s="36">
        <v>13.14</v>
      </c>
      <c r="D121" s="36">
        <v>1</v>
      </c>
      <c r="E121" s="36">
        <v>11.12</v>
      </c>
      <c r="F121" s="36">
        <v>2.02</v>
      </c>
      <c r="G121" s="36">
        <v>0.93</v>
      </c>
      <c r="H121" s="36">
        <v>0.82</v>
      </c>
      <c r="I121" s="36">
        <v>0.11</v>
      </c>
      <c r="J121" s="37">
        <f>G121/3</f>
        <v>0.31</v>
      </c>
      <c r="K121" s="37">
        <f>H121/3</f>
        <v>0.27333333333333332</v>
      </c>
      <c r="L121" s="37">
        <f t="shared" si="15"/>
        <v>3.6666666666666681E-2</v>
      </c>
      <c r="M121" s="34">
        <f t="shared" si="16"/>
        <v>0.1341463414634147</v>
      </c>
      <c r="N121" s="35">
        <f t="shared" si="17"/>
        <v>12.545253599999999</v>
      </c>
      <c r="O121" s="35">
        <f t="shared" si="18"/>
        <v>11.061406399999999</v>
      </c>
      <c r="P121" s="33">
        <f t="shared" si="19"/>
        <v>1.4838471999999996</v>
      </c>
      <c r="Q121" s="34">
        <f t="shared" si="20"/>
        <v>0.13414634146341461</v>
      </c>
      <c r="R121" s="33">
        <f>VLOOKUP(A121,'[1]Kharif tonnage acres2025'!A121:C1911,2,FALSE)</f>
        <v>20.93</v>
      </c>
      <c r="S121" s="33">
        <f>VLOOKUP(A121,'[1]Kharif tonnage acres2025'!A120:C1911,3,FALSE)</f>
        <v>205</v>
      </c>
      <c r="T121" s="32" t="s">
        <v>357</v>
      </c>
    </row>
    <row r="122" spans="1:20" ht="16.5" customHeight="1" thickBot="1" x14ac:dyDescent="0.25">
      <c r="A122" s="36">
        <v>1746683181143</v>
      </c>
      <c r="B122" s="36">
        <v>1128</v>
      </c>
      <c r="C122" s="36">
        <v>17.5</v>
      </c>
      <c r="D122" s="36">
        <v>4</v>
      </c>
      <c r="E122" s="36">
        <v>15.5</v>
      </c>
      <c r="F122" s="36">
        <v>2</v>
      </c>
      <c r="G122" s="36">
        <v>0.43</v>
      </c>
      <c r="H122" s="36">
        <v>0.38</v>
      </c>
      <c r="I122" s="36">
        <v>0.05</v>
      </c>
      <c r="J122" s="36">
        <f>G122</f>
        <v>0.43</v>
      </c>
      <c r="K122" s="36">
        <f>H122</f>
        <v>0.38</v>
      </c>
      <c r="L122" s="36">
        <f t="shared" si="15"/>
        <v>4.9999999999999989E-2</v>
      </c>
      <c r="M122" s="34">
        <f t="shared" si="16"/>
        <v>0.13157894736842102</v>
      </c>
      <c r="N122" s="35">
        <f t="shared" si="17"/>
        <v>17.401480799999998</v>
      </c>
      <c r="O122" s="35">
        <f t="shared" si="18"/>
        <v>15.378052799999999</v>
      </c>
      <c r="P122" s="33">
        <f t="shared" si="19"/>
        <v>2.0234279999999991</v>
      </c>
      <c r="Q122" s="34">
        <f t="shared" si="20"/>
        <v>0.13157894736842102</v>
      </c>
      <c r="R122" s="33">
        <f>VLOOKUP(A122,'[1]Kharif tonnage acres2025'!A122:C1912,2,FALSE)</f>
        <v>0</v>
      </c>
      <c r="S122" s="33">
        <f>VLOOKUP(A122,'[1]Kharif tonnage acres2025'!A121:C1912,3,FALSE)</f>
        <v>11.06</v>
      </c>
      <c r="T122" s="32" t="s">
        <v>358</v>
      </c>
    </row>
    <row r="123" spans="1:20" ht="16.5" customHeight="1" thickBot="1" x14ac:dyDescent="0.25">
      <c r="A123" s="36">
        <v>1747635456615</v>
      </c>
      <c r="B123" s="36">
        <v>1128</v>
      </c>
      <c r="C123" s="36">
        <v>17</v>
      </c>
      <c r="D123" s="36">
        <v>4</v>
      </c>
      <c r="E123" s="36">
        <v>15</v>
      </c>
      <c r="F123" s="36">
        <v>2</v>
      </c>
      <c r="G123" s="36">
        <v>0.42</v>
      </c>
      <c r="H123" s="36">
        <v>0.37</v>
      </c>
      <c r="I123" s="36">
        <v>0.05</v>
      </c>
      <c r="J123" s="36">
        <f>G123</f>
        <v>0.42</v>
      </c>
      <c r="K123" s="36">
        <f>H123</f>
        <v>0.37</v>
      </c>
      <c r="L123" s="36">
        <f t="shared" si="15"/>
        <v>4.9999999999999989E-2</v>
      </c>
      <c r="M123" s="34">
        <f t="shared" si="16"/>
        <v>0.13513513513513511</v>
      </c>
      <c r="N123" s="35">
        <f t="shared" si="17"/>
        <v>16.996795199999998</v>
      </c>
      <c r="O123" s="35">
        <f t="shared" si="18"/>
        <v>14.973367199999998</v>
      </c>
      <c r="P123" s="33">
        <f t="shared" si="19"/>
        <v>2.0234279999999991</v>
      </c>
      <c r="Q123" s="34">
        <f t="shared" si="20"/>
        <v>0.13513513513513509</v>
      </c>
      <c r="R123" s="33">
        <f>VLOOKUP(A123,'[1]Kharif tonnage acres2025'!A123:C1913,2,FALSE)</f>
        <v>0</v>
      </c>
      <c r="S123" s="33">
        <f>VLOOKUP(A123,'[1]Kharif tonnage acres2025'!A122:C1913,3,FALSE)</f>
        <v>3.84</v>
      </c>
      <c r="T123" s="32" t="s">
        <v>359</v>
      </c>
    </row>
    <row r="124" spans="1:20" ht="16.5" customHeight="1" thickBot="1" x14ac:dyDescent="0.25">
      <c r="A124" s="36">
        <v>1726652775795</v>
      </c>
      <c r="B124" s="36">
        <v>190</v>
      </c>
      <c r="C124" s="36">
        <v>16.91</v>
      </c>
      <c r="D124" s="36">
        <v>1</v>
      </c>
      <c r="E124" s="36">
        <v>14.48</v>
      </c>
      <c r="F124" s="36">
        <v>2.4300000000000002</v>
      </c>
      <c r="G124" s="36">
        <v>1.25</v>
      </c>
      <c r="H124" s="36">
        <v>1.07</v>
      </c>
      <c r="I124" s="36">
        <v>0.18</v>
      </c>
      <c r="J124" s="37">
        <f>G124/3</f>
        <v>0.41666666666666669</v>
      </c>
      <c r="K124" s="37">
        <f>H124/3</f>
        <v>0.35666666666666669</v>
      </c>
      <c r="L124" s="37">
        <f t="shared" si="15"/>
        <v>0.06</v>
      </c>
      <c r="M124" s="34">
        <f t="shared" si="16"/>
        <v>0.16822429906542055</v>
      </c>
      <c r="N124" s="35">
        <f t="shared" si="17"/>
        <v>16.861899999999999</v>
      </c>
      <c r="O124" s="35">
        <f t="shared" si="18"/>
        <v>14.433786399999999</v>
      </c>
      <c r="P124" s="33">
        <f t="shared" si="19"/>
        <v>2.4281135999999996</v>
      </c>
      <c r="Q124" s="34">
        <f t="shared" si="20"/>
        <v>0.16822429906542055</v>
      </c>
      <c r="R124" s="33">
        <f>VLOOKUP(A124,'[1]Kharif tonnage acres2025'!A124:C1914,2,FALSE)</f>
        <v>7.8</v>
      </c>
      <c r="S124" s="33">
        <f>VLOOKUP(A124,'[1]Kharif tonnage acres2025'!A123:C1914,3,FALSE)</f>
        <v>85</v>
      </c>
      <c r="T124" s="32" t="s">
        <v>351</v>
      </c>
    </row>
    <row r="125" spans="1:20" ht="16.5" customHeight="1" thickBot="1" x14ac:dyDescent="0.25">
      <c r="A125" s="36">
        <v>2110</v>
      </c>
      <c r="B125" s="36">
        <v>132</v>
      </c>
      <c r="C125" s="36">
        <v>12.74</v>
      </c>
      <c r="D125" s="36">
        <v>1</v>
      </c>
      <c r="E125" s="36">
        <v>11.32</v>
      </c>
      <c r="F125" s="36">
        <v>1.42</v>
      </c>
      <c r="G125" s="36">
        <v>0.94</v>
      </c>
      <c r="H125" s="36">
        <v>0.84</v>
      </c>
      <c r="I125" s="36">
        <v>0.1</v>
      </c>
      <c r="J125" s="37">
        <f>G125/3</f>
        <v>0.3133333333333333</v>
      </c>
      <c r="K125" s="37">
        <f>H125/3</f>
        <v>0.27999999999999997</v>
      </c>
      <c r="L125" s="37">
        <f t="shared" si="15"/>
        <v>3.3333333333333326E-2</v>
      </c>
      <c r="M125" s="34">
        <f t="shared" si="16"/>
        <v>0.11904761904761903</v>
      </c>
      <c r="N125" s="35">
        <f t="shared" si="17"/>
        <v>12.680148799999998</v>
      </c>
      <c r="O125" s="35">
        <f t="shared" si="18"/>
        <v>11.331196799999997</v>
      </c>
      <c r="P125" s="33">
        <f t="shared" si="19"/>
        <v>1.3489520000000006</v>
      </c>
      <c r="Q125" s="34">
        <f t="shared" si="20"/>
        <v>0.11904761904761912</v>
      </c>
      <c r="R125" s="33">
        <f>VLOOKUP(A125,'[1]Kharif tonnage acres2025'!A125:C1915,2,FALSE)</f>
        <v>14.2</v>
      </c>
      <c r="S125" s="33">
        <f>VLOOKUP(A125,'[1]Kharif tonnage acres2025'!A124:C1915,3,FALSE)</f>
        <v>150</v>
      </c>
      <c r="T125" s="32" t="s">
        <v>360</v>
      </c>
    </row>
    <row r="126" spans="1:20" ht="16.5" customHeight="1" thickBot="1" x14ac:dyDescent="0.25">
      <c r="A126" s="38">
        <v>1747974728542</v>
      </c>
      <c r="B126" s="36">
        <v>1094</v>
      </c>
      <c r="C126" s="36">
        <v>20.63</v>
      </c>
      <c r="D126" s="36">
        <v>13</v>
      </c>
      <c r="E126" s="36">
        <v>16.18</v>
      </c>
      <c r="F126" s="36">
        <v>4.45</v>
      </c>
      <c r="G126" s="36">
        <v>0.51</v>
      </c>
      <c r="H126" s="36">
        <v>0.4</v>
      </c>
      <c r="I126" s="36">
        <v>0.11</v>
      </c>
      <c r="J126" s="36">
        <f t="shared" ref="J126:K129" si="29">G126</f>
        <v>0.51</v>
      </c>
      <c r="K126" s="36">
        <f t="shared" si="29"/>
        <v>0.4</v>
      </c>
      <c r="L126" s="36">
        <f t="shared" si="15"/>
        <v>0.10999999999999999</v>
      </c>
      <c r="M126" s="34">
        <f t="shared" si="16"/>
        <v>0.27499999999999997</v>
      </c>
      <c r="N126" s="35">
        <f t="shared" si="17"/>
        <v>20.638965599999999</v>
      </c>
      <c r="O126" s="35">
        <f t="shared" si="18"/>
        <v>16.187424</v>
      </c>
      <c r="P126" s="33">
        <f t="shared" si="19"/>
        <v>4.4515415999999988</v>
      </c>
      <c r="Q126" s="34">
        <f t="shared" si="20"/>
        <v>0.27499999999999991</v>
      </c>
      <c r="R126" s="33">
        <v>9.44</v>
      </c>
      <c r="S126" s="33">
        <v>100</v>
      </c>
      <c r="T126" s="32" t="s">
        <v>361</v>
      </c>
    </row>
    <row r="127" spans="1:20" ht="16.5" customHeight="1" thickBot="1" x14ac:dyDescent="0.25">
      <c r="A127" s="38">
        <v>1747982366374</v>
      </c>
      <c r="B127" s="36">
        <v>1094</v>
      </c>
      <c r="C127" s="36">
        <v>21.04</v>
      </c>
      <c r="D127" s="36">
        <v>13</v>
      </c>
      <c r="E127" s="36">
        <v>12.54</v>
      </c>
      <c r="F127" s="36">
        <v>8.5</v>
      </c>
      <c r="G127" s="36">
        <v>0.52</v>
      </c>
      <c r="H127" s="36">
        <v>0.31</v>
      </c>
      <c r="I127" s="36">
        <v>0.21</v>
      </c>
      <c r="J127" s="36">
        <f t="shared" si="29"/>
        <v>0.52</v>
      </c>
      <c r="K127" s="36">
        <f t="shared" si="29"/>
        <v>0.31</v>
      </c>
      <c r="L127" s="36">
        <f t="shared" si="15"/>
        <v>0.21000000000000002</v>
      </c>
      <c r="M127" s="34">
        <f t="shared" si="16"/>
        <v>0.67741935483870974</v>
      </c>
      <c r="N127" s="35">
        <f t="shared" si="17"/>
        <v>21.043651199999999</v>
      </c>
      <c r="O127" s="35">
        <f t="shared" si="18"/>
        <v>12.545253599999999</v>
      </c>
      <c r="P127" s="33">
        <f t="shared" si="19"/>
        <v>8.4983976000000006</v>
      </c>
      <c r="Q127" s="34">
        <f t="shared" si="20"/>
        <v>0.67741935483870974</v>
      </c>
      <c r="R127" s="33">
        <v>4.8099999999999996</v>
      </c>
      <c r="S127" s="33">
        <v>45</v>
      </c>
      <c r="T127" s="32" t="s">
        <v>362</v>
      </c>
    </row>
    <row r="128" spans="1:20" ht="16.5" customHeight="1" thickBot="1" x14ac:dyDescent="0.25">
      <c r="A128" s="36">
        <v>1722060583933</v>
      </c>
      <c r="B128" s="36">
        <v>845</v>
      </c>
      <c r="C128" s="36">
        <v>12.9</v>
      </c>
      <c r="D128" s="36">
        <v>2</v>
      </c>
      <c r="E128" s="36">
        <v>9.6999999999999993</v>
      </c>
      <c r="F128" s="36">
        <v>3.2</v>
      </c>
      <c r="G128" s="36">
        <v>0.32</v>
      </c>
      <c r="H128" s="36">
        <v>0.24</v>
      </c>
      <c r="I128" s="36">
        <v>0.08</v>
      </c>
      <c r="J128" s="36">
        <f t="shared" si="29"/>
        <v>0.32</v>
      </c>
      <c r="K128" s="36">
        <f t="shared" si="29"/>
        <v>0.24</v>
      </c>
      <c r="L128" s="36">
        <f t="shared" si="15"/>
        <v>8.0000000000000016E-2</v>
      </c>
      <c r="M128" s="34">
        <f t="shared" si="16"/>
        <v>0.33333333333333343</v>
      </c>
      <c r="N128" s="35">
        <f t="shared" si="17"/>
        <v>12.949939199999999</v>
      </c>
      <c r="O128" s="35">
        <f t="shared" si="18"/>
        <v>9.7124543999999986</v>
      </c>
      <c r="P128" s="33">
        <f t="shared" si="19"/>
        <v>3.2374848000000007</v>
      </c>
      <c r="Q128" s="34">
        <f t="shared" si="20"/>
        <v>0.33333333333333348</v>
      </c>
      <c r="R128" s="33">
        <f>VLOOKUP(A128,'[1]Kharif tonnage acres2025'!A128:C1918,2,FALSE)</f>
        <v>6.76</v>
      </c>
      <c r="S128" s="33">
        <f>VLOOKUP(A128,'[1]Kharif tonnage acres2025'!A127:C1918,3,FALSE)</f>
        <v>60</v>
      </c>
      <c r="T128" s="32" t="s">
        <v>363</v>
      </c>
    </row>
    <row r="129" spans="1:20" ht="16.5" customHeight="1" thickBot="1" x14ac:dyDescent="0.25">
      <c r="A129" s="36">
        <v>1726468780378</v>
      </c>
      <c r="B129" s="36">
        <v>845</v>
      </c>
      <c r="C129" s="36">
        <v>10.5</v>
      </c>
      <c r="D129" s="36">
        <v>2</v>
      </c>
      <c r="E129" s="36">
        <v>10.5</v>
      </c>
      <c r="F129" s="36">
        <v>0</v>
      </c>
      <c r="G129" s="36">
        <v>0.25</v>
      </c>
      <c r="H129" s="36">
        <v>0.25</v>
      </c>
      <c r="I129" s="36">
        <v>0</v>
      </c>
      <c r="J129" s="36">
        <f t="shared" si="29"/>
        <v>0.25</v>
      </c>
      <c r="K129" s="36">
        <f t="shared" si="29"/>
        <v>0.25</v>
      </c>
      <c r="L129" s="36">
        <f t="shared" si="15"/>
        <v>0</v>
      </c>
      <c r="M129" s="34">
        <f t="shared" si="16"/>
        <v>0</v>
      </c>
      <c r="N129" s="35">
        <f t="shared" si="17"/>
        <v>10.117139999999999</v>
      </c>
      <c r="O129" s="35">
        <f t="shared" si="18"/>
        <v>10.117139999999999</v>
      </c>
      <c r="P129" s="33">
        <f t="shared" si="19"/>
        <v>0</v>
      </c>
      <c r="Q129" s="34">
        <f t="shared" si="20"/>
        <v>0</v>
      </c>
      <c r="R129" s="33">
        <f>VLOOKUP(A129,'[1]Kharif tonnage acres2025'!A129:C1919,2,FALSE)</f>
        <v>11.82</v>
      </c>
      <c r="S129" s="33">
        <f>VLOOKUP(A129,'[1]Kharif tonnage acres2025'!A128:C1919,3,FALSE)</f>
        <v>120</v>
      </c>
      <c r="T129" s="32" t="s">
        <v>364</v>
      </c>
    </row>
    <row r="130" spans="1:20" ht="16.5" customHeight="1" thickBot="1" x14ac:dyDescent="0.25">
      <c r="A130" s="36">
        <v>1723789134750</v>
      </c>
      <c r="B130" s="36">
        <v>31</v>
      </c>
      <c r="C130" s="36">
        <v>16.38</v>
      </c>
      <c r="D130" s="36">
        <v>1</v>
      </c>
      <c r="E130" s="36">
        <v>12.98</v>
      </c>
      <c r="F130" s="36">
        <v>3.4</v>
      </c>
      <c r="G130" s="36">
        <v>1.21</v>
      </c>
      <c r="H130" s="36">
        <v>0.96</v>
      </c>
      <c r="I130" s="36">
        <v>0.25</v>
      </c>
      <c r="J130" s="37">
        <f t="shared" ref="J130:K133" si="30">G130/3</f>
        <v>0.40333333333333332</v>
      </c>
      <c r="K130" s="37">
        <f t="shared" si="30"/>
        <v>0.32</v>
      </c>
      <c r="L130" s="37">
        <f t="shared" ref="L130:L193" si="31">J130-K130</f>
        <v>8.3333333333333315E-2</v>
      </c>
      <c r="M130" s="34">
        <f t="shared" ref="M130:M193" si="32">L130/K130</f>
        <v>0.26041666666666663</v>
      </c>
      <c r="N130" s="35">
        <f t="shared" ref="N130:N193" si="33">J130*40.46856</f>
        <v>16.322319199999999</v>
      </c>
      <c r="O130" s="35">
        <f t="shared" ref="O130:O193" si="34">K130*40.46856</f>
        <v>12.949939199999999</v>
      </c>
      <c r="P130" s="33">
        <f t="shared" ref="P130:P193" si="35">N130-O130</f>
        <v>3.3723799999999997</v>
      </c>
      <c r="Q130" s="34">
        <f t="shared" ref="Q130:Q193" si="36">P130/O130</f>
        <v>0.26041666666666669</v>
      </c>
      <c r="R130" s="33">
        <f>VLOOKUP(A130,'[1]Kharif tonnage acres2025'!A130:C1920,2,FALSE)</f>
        <v>15.58</v>
      </c>
      <c r="S130" s="33">
        <f>VLOOKUP(A130,'[1]Kharif tonnage acres2025'!A129:C1920,3,FALSE)</f>
        <v>150</v>
      </c>
      <c r="T130" s="32" t="s">
        <v>264</v>
      </c>
    </row>
    <row r="131" spans="1:20" ht="16.5" customHeight="1" thickBot="1" x14ac:dyDescent="0.25">
      <c r="A131" s="36">
        <v>1723612955040</v>
      </c>
      <c r="B131" s="36">
        <v>158</v>
      </c>
      <c r="C131" s="36">
        <v>16.91</v>
      </c>
      <c r="D131" s="36">
        <v>1</v>
      </c>
      <c r="E131" s="36">
        <v>12.82</v>
      </c>
      <c r="F131" s="36">
        <v>4.09</v>
      </c>
      <c r="G131" s="36">
        <v>1.25</v>
      </c>
      <c r="H131" s="36">
        <v>0.95</v>
      </c>
      <c r="I131" s="36">
        <v>0.3</v>
      </c>
      <c r="J131" s="37">
        <f t="shared" si="30"/>
        <v>0.41666666666666669</v>
      </c>
      <c r="K131" s="37">
        <f t="shared" si="30"/>
        <v>0.31666666666666665</v>
      </c>
      <c r="L131" s="37">
        <f t="shared" si="31"/>
        <v>0.10000000000000003</v>
      </c>
      <c r="M131" s="34">
        <f t="shared" si="32"/>
        <v>0.31578947368421062</v>
      </c>
      <c r="N131" s="35">
        <f t="shared" si="33"/>
        <v>16.861899999999999</v>
      </c>
      <c r="O131" s="35">
        <f t="shared" si="34"/>
        <v>12.815043999999999</v>
      </c>
      <c r="P131" s="33">
        <f t="shared" si="35"/>
        <v>4.046856</v>
      </c>
      <c r="Q131" s="34">
        <f t="shared" si="36"/>
        <v>0.31578947368421056</v>
      </c>
      <c r="R131" s="33">
        <f>VLOOKUP(A131,'[1]Kharif tonnage acres2025'!A131:C1921,2,FALSE)</f>
        <v>13.22</v>
      </c>
      <c r="S131" s="33">
        <f>VLOOKUP(A131,'[1]Kharif tonnage acres2025'!A130:C1921,3,FALSE)</f>
        <v>135</v>
      </c>
      <c r="T131" s="32" t="s">
        <v>365</v>
      </c>
    </row>
    <row r="132" spans="1:20" ht="16.5" customHeight="1" thickBot="1" x14ac:dyDescent="0.25">
      <c r="A132" s="36">
        <v>1725268597160</v>
      </c>
      <c r="B132" s="36">
        <v>183</v>
      </c>
      <c r="C132" s="36">
        <v>14.4</v>
      </c>
      <c r="D132" s="36">
        <v>1</v>
      </c>
      <c r="E132" s="36">
        <v>11.45</v>
      </c>
      <c r="F132" s="36">
        <v>2.95</v>
      </c>
      <c r="G132" s="36">
        <v>1.06</v>
      </c>
      <c r="H132" s="36">
        <v>0.84</v>
      </c>
      <c r="I132" s="36">
        <v>0.22</v>
      </c>
      <c r="J132" s="37">
        <f t="shared" si="30"/>
        <v>0.35333333333333333</v>
      </c>
      <c r="K132" s="37">
        <f t="shared" si="30"/>
        <v>0.27999999999999997</v>
      </c>
      <c r="L132" s="37">
        <f t="shared" si="31"/>
        <v>7.3333333333333361E-2</v>
      </c>
      <c r="M132" s="34">
        <f t="shared" si="32"/>
        <v>0.26190476190476203</v>
      </c>
      <c r="N132" s="35">
        <f t="shared" si="33"/>
        <v>14.298891199999998</v>
      </c>
      <c r="O132" s="35">
        <f t="shared" si="34"/>
        <v>11.331196799999997</v>
      </c>
      <c r="P132" s="33">
        <f t="shared" si="35"/>
        <v>2.967694400000001</v>
      </c>
      <c r="Q132" s="34">
        <f t="shared" si="36"/>
        <v>0.26190476190476203</v>
      </c>
      <c r="R132" s="33">
        <f>VLOOKUP(A132,'[1]Kharif tonnage acres2025'!A132:C1922,2,FALSE)</f>
        <v>11.24</v>
      </c>
      <c r="S132" s="33">
        <f>VLOOKUP(A132,'[1]Kharif tonnage acres2025'!A131:C1922,3,FALSE)</f>
        <v>125</v>
      </c>
      <c r="T132" s="32" t="s">
        <v>366</v>
      </c>
    </row>
    <row r="133" spans="1:20" ht="16.5" customHeight="1" thickBot="1" x14ac:dyDescent="0.25">
      <c r="A133" s="36">
        <v>1725268513981</v>
      </c>
      <c r="B133" s="36">
        <v>183</v>
      </c>
      <c r="C133" s="36">
        <v>14.12</v>
      </c>
      <c r="D133" s="36">
        <v>1</v>
      </c>
      <c r="E133" s="36">
        <v>11.93</v>
      </c>
      <c r="F133" s="36">
        <v>2.19</v>
      </c>
      <c r="G133" s="36">
        <v>1.04</v>
      </c>
      <c r="H133" s="36">
        <v>0.88</v>
      </c>
      <c r="I133" s="36">
        <v>0.16</v>
      </c>
      <c r="J133" s="37">
        <f t="shared" si="30"/>
        <v>0.34666666666666668</v>
      </c>
      <c r="K133" s="37">
        <f t="shared" si="30"/>
        <v>0.29333333333333333</v>
      </c>
      <c r="L133" s="37">
        <f t="shared" si="31"/>
        <v>5.3333333333333344E-2</v>
      </c>
      <c r="M133" s="34">
        <f t="shared" si="32"/>
        <v>0.18181818181818185</v>
      </c>
      <c r="N133" s="35">
        <f t="shared" si="33"/>
        <v>14.0291008</v>
      </c>
      <c r="O133" s="35">
        <f t="shared" si="34"/>
        <v>11.870777599999998</v>
      </c>
      <c r="P133" s="33">
        <f t="shared" si="35"/>
        <v>2.1583232000000017</v>
      </c>
      <c r="Q133" s="34">
        <f t="shared" si="36"/>
        <v>0.18181818181818199</v>
      </c>
      <c r="R133" s="33">
        <f>VLOOKUP(A133,'[1]Kharif tonnage acres2025'!A133:C1923,2,FALSE)</f>
        <v>15.82</v>
      </c>
      <c r="S133" s="33">
        <f>VLOOKUP(A133,'[1]Kharif tonnage acres2025'!A132:C1923,3,FALSE)</f>
        <v>170</v>
      </c>
      <c r="T133" s="32" t="s">
        <v>367</v>
      </c>
    </row>
    <row r="134" spans="1:20" ht="16.5" customHeight="1" thickBot="1" x14ac:dyDescent="0.25">
      <c r="A134" s="36">
        <v>1747289849072</v>
      </c>
      <c r="B134" s="36">
        <v>783</v>
      </c>
      <c r="C134" s="36">
        <v>18.600000000000001</v>
      </c>
      <c r="D134" s="36">
        <v>2</v>
      </c>
      <c r="E134" s="36">
        <v>12.5</v>
      </c>
      <c r="F134" s="36">
        <v>6.1</v>
      </c>
      <c r="G134" s="36">
        <v>0.46</v>
      </c>
      <c r="H134" s="36">
        <v>0.31</v>
      </c>
      <c r="I134" s="36">
        <v>0.15</v>
      </c>
      <c r="J134" s="36">
        <f t="shared" ref="J134:K138" si="37">G134</f>
        <v>0.46</v>
      </c>
      <c r="K134" s="36">
        <f t="shared" si="37"/>
        <v>0.31</v>
      </c>
      <c r="L134" s="36">
        <f t="shared" si="31"/>
        <v>0.15000000000000002</v>
      </c>
      <c r="M134" s="34">
        <f t="shared" si="32"/>
        <v>0.48387096774193555</v>
      </c>
      <c r="N134" s="35">
        <f t="shared" si="33"/>
        <v>18.6155376</v>
      </c>
      <c r="O134" s="35">
        <f t="shared" si="34"/>
        <v>12.545253599999999</v>
      </c>
      <c r="P134" s="33">
        <f t="shared" si="35"/>
        <v>6.0702840000000009</v>
      </c>
      <c r="Q134" s="34">
        <f t="shared" si="36"/>
        <v>0.48387096774193561</v>
      </c>
      <c r="R134" s="33">
        <f>VLOOKUP(A134,'[1]Kharif tonnage acres2025'!A134:C1924,2,FALSE)</f>
        <v>13.13</v>
      </c>
      <c r="S134" s="33">
        <f>VLOOKUP(A134,'[1]Kharif tonnage acres2025'!A133:C1924,3,FALSE)</f>
        <v>145</v>
      </c>
      <c r="T134" s="32" t="s">
        <v>368</v>
      </c>
    </row>
    <row r="135" spans="1:20" ht="16.5" customHeight="1" thickBot="1" x14ac:dyDescent="0.25">
      <c r="A135" s="36">
        <v>1749460775703</v>
      </c>
      <c r="B135" s="36">
        <v>1145</v>
      </c>
      <c r="C135" s="36">
        <v>20</v>
      </c>
      <c r="D135" s="36">
        <v>4</v>
      </c>
      <c r="E135" s="36">
        <v>19</v>
      </c>
      <c r="F135" s="36">
        <v>1</v>
      </c>
      <c r="G135" s="36">
        <v>0.48</v>
      </c>
      <c r="H135" s="36">
        <v>0.42</v>
      </c>
      <c r="I135" s="36">
        <v>0.06</v>
      </c>
      <c r="J135" s="36">
        <f t="shared" si="37"/>
        <v>0.48</v>
      </c>
      <c r="K135" s="36">
        <f t="shared" si="37"/>
        <v>0.42</v>
      </c>
      <c r="L135" s="36">
        <f t="shared" si="31"/>
        <v>0.06</v>
      </c>
      <c r="M135" s="34">
        <f t="shared" si="32"/>
        <v>0.14285714285714285</v>
      </c>
      <c r="N135" s="35">
        <f t="shared" si="33"/>
        <v>19.424908799999997</v>
      </c>
      <c r="O135" s="35">
        <f t="shared" si="34"/>
        <v>16.996795199999998</v>
      </c>
      <c r="P135" s="33">
        <f t="shared" si="35"/>
        <v>2.4281135999999996</v>
      </c>
      <c r="Q135" s="34">
        <f t="shared" si="36"/>
        <v>0.14285714285714285</v>
      </c>
      <c r="R135" s="33">
        <f>VLOOKUP(A135,'[1]Kharif tonnage acres2025'!A135:C1925,2,FALSE)</f>
        <v>0</v>
      </c>
      <c r="S135" s="33">
        <f>VLOOKUP(A135,'[1]Kharif tonnage acres2025'!A134:C1925,3,FALSE)</f>
        <v>3.38</v>
      </c>
      <c r="T135" s="32" t="s">
        <v>369</v>
      </c>
    </row>
    <row r="136" spans="1:20" ht="16.5" customHeight="1" thickBot="1" x14ac:dyDescent="0.25">
      <c r="A136" s="36">
        <v>1749703452038</v>
      </c>
      <c r="B136" s="36">
        <v>1145</v>
      </c>
      <c r="C136" s="36">
        <v>19</v>
      </c>
      <c r="D136" s="36">
        <v>4</v>
      </c>
      <c r="E136" s="36">
        <v>18.5</v>
      </c>
      <c r="F136" s="36">
        <v>0.5</v>
      </c>
      <c r="G136" s="36">
        <v>0.47</v>
      </c>
      <c r="H136" s="36">
        <v>0.41</v>
      </c>
      <c r="I136" s="36">
        <v>0.6</v>
      </c>
      <c r="J136" s="36">
        <f t="shared" si="37"/>
        <v>0.47</v>
      </c>
      <c r="K136" s="36">
        <f t="shared" si="37"/>
        <v>0.41</v>
      </c>
      <c r="L136" s="36">
        <f t="shared" si="31"/>
        <v>0.06</v>
      </c>
      <c r="M136" s="34">
        <f t="shared" si="32"/>
        <v>0.14634146341463414</v>
      </c>
      <c r="N136" s="35">
        <f t="shared" si="33"/>
        <v>19.020223199999997</v>
      </c>
      <c r="O136" s="35">
        <f t="shared" si="34"/>
        <v>16.592109599999997</v>
      </c>
      <c r="P136" s="33">
        <f t="shared" si="35"/>
        <v>2.4281135999999996</v>
      </c>
      <c r="Q136" s="34">
        <f t="shared" si="36"/>
        <v>0.14634146341463417</v>
      </c>
      <c r="R136" s="33">
        <f>VLOOKUP(A136,'[1]Kharif tonnage acres2025'!A136:C1926,2,FALSE)</f>
        <v>0</v>
      </c>
      <c r="S136" s="33">
        <f>VLOOKUP(A136,'[1]Kharif tonnage acres2025'!A135:C1926,3,FALSE)</f>
        <v>3.57</v>
      </c>
      <c r="T136" s="32" t="s">
        <v>370</v>
      </c>
    </row>
    <row r="137" spans="1:20" ht="16.5" customHeight="1" thickBot="1" x14ac:dyDescent="0.25">
      <c r="A137" s="36">
        <v>1747465403042</v>
      </c>
      <c r="B137" s="36">
        <v>1145</v>
      </c>
      <c r="C137" s="36">
        <v>21</v>
      </c>
      <c r="D137" s="36">
        <v>4</v>
      </c>
      <c r="E137" s="36">
        <v>20</v>
      </c>
      <c r="F137" s="36">
        <v>1</v>
      </c>
      <c r="G137" s="36">
        <v>0.43</v>
      </c>
      <c r="H137" s="36">
        <v>0.4</v>
      </c>
      <c r="I137" s="36">
        <v>0.03</v>
      </c>
      <c r="J137" s="36">
        <f t="shared" si="37"/>
        <v>0.43</v>
      </c>
      <c r="K137" s="36">
        <f t="shared" si="37"/>
        <v>0.4</v>
      </c>
      <c r="L137" s="36">
        <f t="shared" si="31"/>
        <v>2.9999999999999971E-2</v>
      </c>
      <c r="M137" s="34">
        <f t="shared" si="32"/>
        <v>7.4999999999999928E-2</v>
      </c>
      <c r="N137" s="35">
        <f t="shared" si="33"/>
        <v>17.401480799999998</v>
      </c>
      <c r="O137" s="35">
        <f t="shared" si="34"/>
        <v>16.187424</v>
      </c>
      <c r="P137" s="33">
        <f t="shared" si="35"/>
        <v>1.214056799999998</v>
      </c>
      <c r="Q137" s="34">
        <f t="shared" si="36"/>
        <v>7.4999999999999886E-2</v>
      </c>
      <c r="R137" s="33">
        <f>VLOOKUP(A137,'[1]Kharif tonnage acres2025'!A137:C1927,2,FALSE)</f>
        <v>0</v>
      </c>
      <c r="S137" s="33">
        <f>VLOOKUP(A137,'[1]Kharif tonnage acres2025'!A136:C1927,3,FALSE)</f>
        <v>7.34</v>
      </c>
      <c r="T137" s="32" t="s">
        <v>371</v>
      </c>
    </row>
    <row r="138" spans="1:20" ht="16.5" customHeight="1" thickBot="1" x14ac:dyDescent="0.25">
      <c r="A138" s="36">
        <v>1747300706091</v>
      </c>
      <c r="B138" s="36">
        <v>783</v>
      </c>
      <c r="C138" s="36">
        <v>19.8</v>
      </c>
      <c r="D138" s="36">
        <v>2</v>
      </c>
      <c r="E138" s="36">
        <v>15</v>
      </c>
      <c r="F138" s="36">
        <v>4.8</v>
      </c>
      <c r="G138" s="36">
        <v>0.49</v>
      </c>
      <c r="H138" s="36">
        <v>0.37</v>
      </c>
      <c r="I138" s="36">
        <v>0.12</v>
      </c>
      <c r="J138" s="36">
        <f t="shared" si="37"/>
        <v>0.49</v>
      </c>
      <c r="K138" s="36">
        <f t="shared" si="37"/>
        <v>0.37</v>
      </c>
      <c r="L138" s="36">
        <f t="shared" si="31"/>
        <v>0.12</v>
      </c>
      <c r="M138" s="34">
        <f t="shared" si="32"/>
        <v>0.32432432432432434</v>
      </c>
      <c r="N138" s="35">
        <f t="shared" si="33"/>
        <v>19.829594399999998</v>
      </c>
      <c r="O138" s="35">
        <f t="shared" si="34"/>
        <v>14.973367199999998</v>
      </c>
      <c r="P138" s="33">
        <f t="shared" si="35"/>
        <v>4.8562271999999993</v>
      </c>
      <c r="Q138" s="34">
        <f t="shared" si="36"/>
        <v>0.32432432432432429</v>
      </c>
      <c r="R138" s="33">
        <f>VLOOKUP(A138,'[1]Kharif tonnage acres2025'!A138:C1928,2,FALSE)</f>
        <v>8</v>
      </c>
      <c r="S138" s="33">
        <f>VLOOKUP(A138,'[1]Kharif tonnage acres2025'!A137:C1928,3,FALSE)</f>
        <v>85</v>
      </c>
      <c r="T138" s="32" t="s">
        <v>372</v>
      </c>
    </row>
    <row r="139" spans="1:20" ht="16.5" customHeight="1" thickBot="1" x14ac:dyDescent="0.25">
      <c r="A139" s="38">
        <v>1747367913122</v>
      </c>
      <c r="B139" s="36">
        <v>1133</v>
      </c>
      <c r="C139" s="36">
        <v>23</v>
      </c>
      <c r="D139" s="36">
        <v>14</v>
      </c>
      <c r="E139" s="36">
        <v>22</v>
      </c>
      <c r="F139" s="36">
        <v>5</v>
      </c>
      <c r="G139" s="36">
        <v>2.65</v>
      </c>
      <c r="H139" s="36">
        <v>1.83</v>
      </c>
      <c r="I139" s="36">
        <v>0.82</v>
      </c>
      <c r="J139" s="36">
        <f>G139/3</f>
        <v>0.8833333333333333</v>
      </c>
      <c r="K139" s="36">
        <f>H139/3</f>
        <v>0.61</v>
      </c>
      <c r="L139" s="36">
        <f t="shared" si="31"/>
        <v>0.27333333333333332</v>
      </c>
      <c r="M139" s="34">
        <f t="shared" si="32"/>
        <v>0.44808743169398907</v>
      </c>
      <c r="N139" s="35">
        <f t="shared" si="33"/>
        <v>35.747227999999993</v>
      </c>
      <c r="O139" s="35">
        <f t="shared" si="34"/>
        <v>24.685821599999997</v>
      </c>
      <c r="P139" s="33">
        <f t="shared" si="35"/>
        <v>11.061406399999996</v>
      </c>
      <c r="Q139" s="34">
        <f t="shared" si="36"/>
        <v>0.44808743169398896</v>
      </c>
      <c r="R139" s="33">
        <v>8.36</v>
      </c>
      <c r="S139" s="33">
        <v>90</v>
      </c>
      <c r="T139" s="32" t="s">
        <v>373</v>
      </c>
    </row>
    <row r="140" spans="1:20" ht="16.5" customHeight="1" thickBot="1" x14ac:dyDescent="0.25">
      <c r="A140" s="36">
        <v>1744265675362</v>
      </c>
      <c r="B140" s="36">
        <v>963</v>
      </c>
      <c r="C140" s="36">
        <v>20</v>
      </c>
      <c r="D140" s="36">
        <v>4</v>
      </c>
      <c r="E140" s="36">
        <v>18.5</v>
      </c>
      <c r="F140" s="36">
        <v>1.5</v>
      </c>
      <c r="G140" s="36">
        <v>0.5</v>
      </c>
      <c r="H140" s="36">
        <v>0.46</v>
      </c>
      <c r="I140" s="36">
        <v>0.04</v>
      </c>
      <c r="J140" s="36">
        <f>G140</f>
        <v>0.5</v>
      </c>
      <c r="K140" s="36">
        <f>H140</f>
        <v>0.46</v>
      </c>
      <c r="L140" s="36">
        <f t="shared" si="31"/>
        <v>3.999999999999998E-2</v>
      </c>
      <c r="M140" s="34">
        <f t="shared" si="32"/>
        <v>8.6956521739130391E-2</v>
      </c>
      <c r="N140" s="35">
        <f t="shared" si="33"/>
        <v>20.234279999999998</v>
      </c>
      <c r="O140" s="35">
        <f t="shared" si="34"/>
        <v>18.6155376</v>
      </c>
      <c r="P140" s="33">
        <f t="shared" si="35"/>
        <v>1.6187423999999986</v>
      </c>
      <c r="Q140" s="34">
        <f t="shared" si="36"/>
        <v>8.6956521739130363E-2</v>
      </c>
      <c r="R140" s="33">
        <f>VLOOKUP(A140,'[1]Kharif tonnage acres2025'!A140:C1930,2,FALSE)</f>
        <v>0</v>
      </c>
      <c r="S140" s="33">
        <f>VLOOKUP(A140,'[1]Kharif tonnage acres2025'!A139:C1930,3,FALSE)</f>
        <v>5.17</v>
      </c>
      <c r="T140" s="32" t="s">
        <v>374</v>
      </c>
    </row>
    <row r="141" spans="1:20" ht="16.5" customHeight="1" thickBot="1" x14ac:dyDescent="0.25">
      <c r="A141" s="36">
        <v>1744002457392</v>
      </c>
      <c r="B141" s="36">
        <v>963</v>
      </c>
      <c r="C141" s="36">
        <v>19.5</v>
      </c>
      <c r="D141" s="36">
        <v>4</v>
      </c>
      <c r="E141" s="36">
        <v>17.5</v>
      </c>
      <c r="F141" s="36">
        <v>2</v>
      </c>
      <c r="G141" s="36">
        <v>0.48</v>
      </c>
      <c r="H141" s="36">
        <v>0.43</v>
      </c>
      <c r="I141" s="36">
        <v>0.05</v>
      </c>
      <c r="J141" s="36">
        <f>G141</f>
        <v>0.48</v>
      </c>
      <c r="K141" s="36">
        <f>H141</f>
        <v>0.43</v>
      </c>
      <c r="L141" s="36">
        <f t="shared" si="31"/>
        <v>4.9999999999999989E-2</v>
      </c>
      <c r="M141" s="34">
        <f t="shared" si="32"/>
        <v>0.11627906976744183</v>
      </c>
      <c r="N141" s="35">
        <f t="shared" si="33"/>
        <v>19.424908799999997</v>
      </c>
      <c r="O141" s="35">
        <f t="shared" si="34"/>
        <v>17.401480799999998</v>
      </c>
      <c r="P141" s="33">
        <f t="shared" si="35"/>
        <v>2.0234279999999991</v>
      </c>
      <c r="Q141" s="34">
        <f t="shared" si="36"/>
        <v>0.11627906976744182</v>
      </c>
      <c r="R141" s="33">
        <f>VLOOKUP(A141,'[1]Kharif tonnage acres2025'!A141:C1931,2,FALSE)</f>
        <v>0</v>
      </c>
      <c r="S141" s="33">
        <f>VLOOKUP(A141,'[1]Kharif tonnage acres2025'!A140:C1931,3,FALSE)</f>
        <v>5.8</v>
      </c>
      <c r="T141" s="32" t="s">
        <v>375</v>
      </c>
    </row>
    <row r="142" spans="1:20" ht="16.5" customHeight="1" thickBot="1" x14ac:dyDescent="0.25">
      <c r="A142" s="36">
        <v>1726202434966</v>
      </c>
      <c r="B142" s="36">
        <v>183</v>
      </c>
      <c r="C142" s="36">
        <v>13.95</v>
      </c>
      <c r="D142" s="36">
        <v>1</v>
      </c>
      <c r="E142" s="36">
        <v>11.85</v>
      </c>
      <c r="F142" s="36">
        <v>2.1</v>
      </c>
      <c r="G142" s="36">
        <v>1.03</v>
      </c>
      <c r="H142" s="36">
        <v>0.87</v>
      </c>
      <c r="I142" s="36">
        <v>0.16</v>
      </c>
      <c r="J142" s="37">
        <f>G142/3</f>
        <v>0.34333333333333332</v>
      </c>
      <c r="K142" s="37">
        <f>H142/3</f>
        <v>0.28999999999999998</v>
      </c>
      <c r="L142" s="37">
        <f t="shared" si="31"/>
        <v>5.3333333333333344E-2</v>
      </c>
      <c r="M142" s="34">
        <f t="shared" si="32"/>
        <v>0.18390804597701155</v>
      </c>
      <c r="N142" s="35">
        <f t="shared" si="33"/>
        <v>13.894205599999998</v>
      </c>
      <c r="O142" s="35">
        <f t="shared" si="34"/>
        <v>11.735882399999998</v>
      </c>
      <c r="P142" s="33">
        <f t="shared" si="35"/>
        <v>2.1583231999999999</v>
      </c>
      <c r="Q142" s="34">
        <f t="shared" si="36"/>
        <v>0.18390804597701152</v>
      </c>
      <c r="R142" s="33">
        <f>VLOOKUP(A142,'[1]Kharif tonnage acres2025'!A142:C1932,2,FALSE)</f>
        <v>11.15</v>
      </c>
      <c r="S142" s="33">
        <f>VLOOKUP(A142,'[1]Kharif tonnage acres2025'!A141:C1932,3,FALSE)</f>
        <v>115</v>
      </c>
      <c r="T142" s="32" t="s">
        <v>376</v>
      </c>
    </row>
    <row r="143" spans="1:20" ht="16.5" customHeight="1" thickBot="1" x14ac:dyDescent="0.25">
      <c r="A143" s="36">
        <v>1730191849761</v>
      </c>
      <c r="B143" s="36">
        <v>783</v>
      </c>
      <c r="C143" s="36">
        <v>12.5</v>
      </c>
      <c r="D143" s="36">
        <v>2</v>
      </c>
      <c r="E143" s="36">
        <v>8.9</v>
      </c>
      <c r="F143" s="36">
        <v>2.5</v>
      </c>
      <c r="G143" s="36">
        <v>0.31</v>
      </c>
      <c r="H143" s="36">
        <v>0.22</v>
      </c>
      <c r="I143" s="36">
        <v>0.09</v>
      </c>
      <c r="J143" s="36">
        <f t="shared" ref="J143:K147" si="38">G143</f>
        <v>0.31</v>
      </c>
      <c r="K143" s="36">
        <f t="shared" si="38"/>
        <v>0.22</v>
      </c>
      <c r="L143" s="36">
        <f t="shared" si="31"/>
        <v>0.09</v>
      </c>
      <c r="M143" s="34">
        <f t="shared" si="32"/>
        <v>0.40909090909090906</v>
      </c>
      <c r="N143" s="35">
        <f t="shared" si="33"/>
        <v>12.545253599999999</v>
      </c>
      <c r="O143" s="35">
        <f t="shared" si="34"/>
        <v>8.9030831999999993</v>
      </c>
      <c r="P143" s="33">
        <f t="shared" si="35"/>
        <v>3.6421703999999995</v>
      </c>
      <c r="Q143" s="34">
        <f t="shared" si="36"/>
        <v>0.40909090909090906</v>
      </c>
      <c r="R143" s="33">
        <f>VLOOKUP(A143,'[1]Kharif tonnage acres2025'!A143:C1933,2,FALSE)</f>
        <v>11.51</v>
      </c>
      <c r="S143" s="33">
        <f>VLOOKUP(A143,'[1]Kharif tonnage acres2025'!A142:C1933,3,FALSE)</f>
        <v>120</v>
      </c>
      <c r="T143" s="32" t="s">
        <v>377</v>
      </c>
    </row>
    <row r="144" spans="1:20" ht="16.5" customHeight="1" thickBot="1" x14ac:dyDescent="0.25">
      <c r="A144" s="38">
        <v>1749031404040</v>
      </c>
      <c r="B144" s="36">
        <v>1149</v>
      </c>
      <c r="C144" s="36">
        <v>15.37</v>
      </c>
      <c r="D144" s="36">
        <v>13</v>
      </c>
      <c r="E144" s="36">
        <v>13.35</v>
      </c>
      <c r="F144" s="36">
        <v>2.02</v>
      </c>
      <c r="G144" s="36">
        <v>0.38</v>
      </c>
      <c r="H144" s="36">
        <v>0.33</v>
      </c>
      <c r="I144" s="36">
        <v>0.05</v>
      </c>
      <c r="J144" s="36">
        <f t="shared" si="38"/>
        <v>0.38</v>
      </c>
      <c r="K144" s="36">
        <f t="shared" si="38"/>
        <v>0.33</v>
      </c>
      <c r="L144" s="36">
        <f t="shared" si="31"/>
        <v>4.9999999999999989E-2</v>
      </c>
      <c r="M144" s="34">
        <f t="shared" si="32"/>
        <v>0.15151515151515146</v>
      </c>
      <c r="N144" s="35">
        <f t="shared" si="33"/>
        <v>15.378052799999999</v>
      </c>
      <c r="O144" s="35">
        <f t="shared" si="34"/>
        <v>13.3546248</v>
      </c>
      <c r="P144" s="33">
        <f t="shared" si="35"/>
        <v>2.0234279999999991</v>
      </c>
      <c r="Q144" s="34">
        <f t="shared" si="36"/>
        <v>0.15151515151515146</v>
      </c>
      <c r="R144" s="33">
        <v>8.74</v>
      </c>
      <c r="S144" s="33">
        <v>90</v>
      </c>
      <c r="T144" s="32" t="s">
        <v>378</v>
      </c>
    </row>
    <row r="145" spans="1:20" ht="16.5" customHeight="1" thickBot="1" x14ac:dyDescent="0.25">
      <c r="A145" s="38">
        <v>1748948559232</v>
      </c>
      <c r="B145" s="36">
        <v>1149</v>
      </c>
      <c r="C145" s="36">
        <v>13.35</v>
      </c>
      <c r="D145" s="36">
        <v>13</v>
      </c>
      <c r="E145" s="36">
        <v>12.54</v>
      </c>
      <c r="F145" s="36">
        <v>0.81</v>
      </c>
      <c r="G145" s="36">
        <v>0.33</v>
      </c>
      <c r="H145" s="36">
        <v>0.31</v>
      </c>
      <c r="I145" s="36">
        <v>0.02</v>
      </c>
      <c r="J145" s="36">
        <f t="shared" si="38"/>
        <v>0.33</v>
      </c>
      <c r="K145" s="36">
        <f t="shared" si="38"/>
        <v>0.31</v>
      </c>
      <c r="L145" s="36">
        <f t="shared" si="31"/>
        <v>2.0000000000000018E-2</v>
      </c>
      <c r="M145" s="34">
        <f t="shared" si="32"/>
        <v>6.4516129032258118E-2</v>
      </c>
      <c r="N145" s="35">
        <f t="shared" si="33"/>
        <v>13.3546248</v>
      </c>
      <c r="O145" s="35">
        <f t="shared" si="34"/>
        <v>12.545253599999999</v>
      </c>
      <c r="P145" s="33">
        <f t="shared" si="35"/>
        <v>0.80937120000000107</v>
      </c>
      <c r="Q145" s="34">
        <f t="shared" si="36"/>
        <v>6.451612903225816E-2</v>
      </c>
      <c r="R145" s="33">
        <v>12.07</v>
      </c>
      <c r="S145" s="33">
        <v>130</v>
      </c>
      <c r="T145" s="32" t="s">
        <v>379</v>
      </c>
    </row>
    <row r="146" spans="1:20" ht="16.5" customHeight="1" thickBot="1" x14ac:dyDescent="0.25">
      <c r="A146" s="36">
        <v>1738043697698</v>
      </c>
      <c r="B146" s="36">
        <v>775</v>
      </c>
      <c r="C146" s="36">
        <v>16.18</v>
      </c>
      <c r="D146" s="36">
        <v>2</v>
      </c>
      <c r="E146" s="36">
        <v>10.11</v>
      </c>
      <c r="F146" s="36">
        <v>6.07</v>
      </c>
      <c r="G146" s="36">
        <v>0.4</v>
      </c>
      <c r="H146" s="36">
        <v>0.25</v>
      </c>
      <c r="I146" s="36">
        <v>0.15</v>
      </c>
      <c r="J146" s="36">
        <f t="shared" si="38"/>
        <v>0.4</v>
      </c>
      <c r="K146" s="36">
        <f t="shared" si="38"/>
        <v>0.25</v>
      </c>
      <c r="L146" s="36">
        <f t="shared" si="31"/>
        <v>0.15000000000000002</v>
      </c>
      <c r="M146" s="34">
        <f t="shared" si="32"/>
        <v>0.60000000000000009</v>
      </c>
      <c r="N146" s="35">
        <f t="shared" si="33"/>
        <v>16.187424</v>
      </c>
      <c r="O146" s="35">
        <f t="shared" si="34"/>
        <v>10.117139999999999</v>
      </c>
      <c r="P146" s="33">
        <f t="shared" si="35"/>
        <v>6.0702840000000009</v>
      </c>
      <c r="Q146" s="34">
        <f t="shared" si="36"/>
        <v>0.60000000000000009</v>
      </c>
      <c r="R146" s="33">
        <f>VLOOKUP(A146,'[1]Kharif tonnage acres2025'!A146:C1936,2,FALSE)</f>
        <v>5.41</v>
      </c>
      <c r="S146" s="33">
        <f>VLOOKUP(A146,'[1]Kharif tonnage acres2025'!A145:C1936,3,FALSE)</f>
        <v>60</v>
      </c>
      <c r="T146" s="32" t="s">
        <v>380</v>
      </c>
    </row>
    <row r="147" spans="1:20" ht="16.5" customHeight="1" thickBot="1" x14ac:dyDescent="0.25">
      <c r="A147" s="36">
        <v>1737529892713</v>
      </c>
      <c r="B147" s="36">
        <v>775</v>
      </c>
      <c r="C147" s="36">
        <v>17.399999999999999</v>
      </c>
      <c r="D147" s="36">
        <v>2</v>
      </c>
      <c r="E147" s="36">
        <v>17.399999999999999</v>
      </c>
      <c r="F147" s="36">
        <v>0</v>
      </c>
      <c r="G147" s="36">
        <v>0.43</v>
      </c>
      <c r="H147" s="36">
        <v>0.43</v>
      </c>
      <c r="I147" s="36">
        <v>0</v>
      </c>
      <c r="J147" s="36">
        <f t="shared" si="38"/>
        <v>0.43</v>
      </c>
      <c r="K147" s="36">
        <f t="shared" si="38"/>
        <v>0.43</v>
      </c>
      <c r="L147" s="36">
        <f t="shared" si="31"/>
        <v>0</v>
      </c>
      <c r="M147" s="34">
        <f t="shared" si="32"/>
        <v>0</v>
      </c>
      <c r="N147" s="35">
        <f t="shared" si="33"/>
        <v>17.401480799999998</v>
      </c>
      <c r="O147" s="35">
        <f t="shared" si="34"/>
        <v>17.401480799999998</v>
      </c>
      <c r="P147" s="33">
        <f t="shared" si="35"/>
        <v>0</v>
      </c>
      <c r="Q147" s="34">
        <f t="shared" si="36"/>
        <v>0</v>
      </c>
      <c r="R147" s="33">
        <f>VLOOKUP(A147,'[1]Kharif tonnage acres2025'!A147:C1937,2,FALSE)</f>
        <v>12.73</v>
      </c>
      <c r="S147" s="33">
        <f>VLOOKUP(A147,'[1]Kharif tonnage acres2025'!A146:C1937,3,FALSE)</f>
        <v>130</v>
      </c>
      <c r="T147" s="32" t="s">
        <v>381</v>
      </c>
    </row>
    <row r="148" spans="1:20" ht="16.5" customHeight="1" thickBot="1" x14ac:dyDescent="0.25">
      <c r="A148" s="36">
        <v>1723182731633</v>
      </c>
      <c r="B148" s="36">
        <v>40</v>
      </c>
      <c r="C148" s="36">
        <v>16.420000000000002</v>
      </c>
      <c r="D148" s="36">
        <v>1</v>
      </c>
      <c r="E148" s="36">
        <v>14.28</v>
      </c>
      <c r="F148" s="36">
        <v>2.14</v>
      </c>
      <c r="G148" s="36">
        <v>1.21</v>
      </c>
      <c r="H148" s="36">
        <v>1.05</v>
      </c>
      <c r="I148" s="36">
        <v>0.16</v>
      </c>
      <c r="J148" s="37">
        <f>G148/3</f>
        <v>0.40333333333333332</v>
      </c>
      <c r="K148" s="37">
        <f>H148/3</f>
        <v>0.35000000000000003</v>
      </c>
      <c r="L148" s="37">
        <f t="shared" si="31"/>
        <v>5.3333333333333288E-2</v>
      </c>
      <c r="M148" s="34">
        <f t="shared" si="32"/>
        <v>0.15238095238095223</v>
      </c>
      <c r="N148" s="35">
        <f t="shared" si="33"/>
        <v>16.322319199999999</v>
      </c>
      <c r="O148" s="35">
        <f t="shared" si="34"/>
        <v>14.163996000000001</v>
      </c>
      <c r="P148" s="33">
        <f t="shared" si="35"/>
        <v>2.1583231999999981</v>
      </c>
      <c r="Q148" s="34">
        <f t="shared" si="36"/>
        <v>0.15238095238095223</v>
      </c>
      <c r="R148" s="33">
        <f>VLOOKUP(A148,'[1]Kharif tonnage acres2025'!A148:C1938,2,FALSE)</f>
        <v>7.38</v>
      </c>
      <c r="S148" s="33">
        <f>VLOOKUP(A148,'[1]Kharif tonnage acres2025'!A147:C1938,3,FALSE)</f>
        <v>70</v>
      </c>
      <c r="T148" s="32" t="s">
        <v>314</v>
      </c>
    </row>
    <row r="149" spans="1:20" ht="16.5" customHeight="1" thickBot="1" x14ac:dyDescent="0.25">
      <c r="A149" s="36">
        <v>1728364674094</v>
      </c>
      <c r="B149" s="36">
        <v>7</v>
      </c>
      <c r="C149" s="36">
        <v>13.35</v>
      </c>
      <c r="D149" s="36">
        <v>1</v>
      </c>
      <c r="E149" s="36">
        <v>11.73</v>
      </c>
      <c r="F149" s="36">
        <v>1.62</v>
      </c>
      <c r="G149" s="36">
        <v>0.99</v>
      </c>
      <c r="H149" s="36">
        <v>0.87</v>
      </c>
      <c r="I149" s="36">
        <v>0.12</v>
      </c>
      <c r="J149" s="37">
        <f>G149/3</f>
        <v>0.33</v>
      </c>
      <c r="K149" s="37">
        <f>H149/3</f>
        <v>0.28999999999999998</v>
      </c>
      <c r="L149" s="37">
        <f t="shared" si="31"/>
        <v>4.0000000000000036E-2</v>
      </c>
      <c r="M149" s="34">
        <f t="shared" si="32"/>
        <v>0.13793103448275876</v>
      </c>
      <c r="N149" s="35">
        <f t="shared" si="33"/>
        <v>13.3546248</v>
      </c>
      <c r="O149" s="35">
        <f t="shared" si="34"/>
        <v>11.735882399999998</v>
      </c>
      <c r="P149" s="33">
        <f t="shared" si="35"/>
        <v>1.6187424000000021</v>
      </c>
      <c r="Q149" s="34">
        <f t="shared" si="36"/>
        <v>0.13793103448275884</v>
      </c>
      <c r="R149" s="33">
        <f>VLOOKUP(A149,'[1]Kharif tonnage acres2025'!A149:C1939,2,FALSE)</f>
        <v>34.700000000000003</v>
      </c>
      <c r="S149" s="33">
        <f>VLOOKUP(A149,'[1]Kharif tonnage acres2025'!A148:C1939,3,FALSE)</f>
        <v>405</v>
      </c>
      <c r="T149" s="32" t="s">
        <v>382</v>
      </c>
    </row>
    <row r="150" spans="1:20" ht="16.5" customHeight="1" thickBot="1" x14ac:dyDescent="0.25">
      <c r="A150" s="36">
        <v>1748249298563</v>
      </c>
      <c r="B150" s="36">
        <v>783</v>
      </c>
      <c r="C150" s="36">
        <v>20.5</v>
      </c>
      <c r="D150" s="36">
        <v>2</v>
      </c>
      <c r="E150" s="36">
        <v>15.3</v>
      </c>
      <c r="F150" s="36">
        <v>5.2</v>
      </c>
      <c r="G150" s="36">
        <v>0.51</v>
      </c>
      <c r="H150" s="36">
        <v>0.38</v>
      </c>
      <c r="I150" s="36">
        <v>0.13</v>
      </c>
      <c r="J150" s="36">
        <f>G150</f>
        <v>0.51</v>
      </c>
      <c r="K150" s="36">
        <f>H150</f>
        <v>0.38</v>
      </c>
      <c r="L150" s="36">
        <f t="shared" si="31"/>
        <v>0.13</v>
      </c>
      <c r="M150" s="34">
        <f t="shared" si="32"/>
        <v>0.34210526315789475</v>
      </c>
      <c r="N150" s="35">
        <f t="shared" si="33"/>
        <v>20.638965599999999</v>
      </c>
      <c r="O150" s="35">
        <f t="shared" si="34"/>
        <v>15.378052799999999</v>
      </c>
      <c r="P150" s="33">
        <f t="shared" si="35"/>
        <v>5.2609127999999998</v>
      </c>
      <c r="Q150" s="34">
        <f t="shared" si="36"/>
        <v>0.34210526315789475</v>
      </c>
      <c r="R150" s="33">
        <f>VLOOKUP(A150,'[1]Kharif tonnage acres2025'!A150:C1940,2,FALSE)</f>
        <v>9.66</v>
      </c>
      <c r="S150" s="33">
        <f>VLOOKUP(A150,'[1]Kharif tonnage acres2025'!A149:C1940,3,FALSE)</f>
        <v>100</v>
      </c>
      <c r="T150" s="32" t="s">
        <v>383</v>
      </c>
    </row>
    <row r="151" spans="1:20" ht="16.5" customHeight="1" thickBot="1" x14ac:dyDescent="0.25">
      <c r="A151" s="36">
        <v>1727676681168</v>
      </c>
      <c r="B151" s="36">
        <v>7</v>
      </c>
      <c r="C151" s="36">
        <v>15.25</v>
      </c>
      <c r="D151" s="36">
        <v>1</v>
      </c>
      <c r="E151" s="36">
        <v>11.69</v>
      </c>
      <c r="F151" s="36">
        <v>3.56</v>
      </c>
      <c r="G151" s="36">
        <v>1.1299999999999999</v>
      </c>
      <c r="H151" s="36">
        <v>0.86</v>
      </c>
      <c r="I151" s="36">
        <v>0.27</v>
      </c>
      <c r="J151" s="37">
        <f>G151/3</f>
        <v>0.37666666666666665</v>
      </c>
      <c r="K151" s="37">
        <f>H151/3</f>
        <v>0.28666666666666668</v>
      </c>
      <c r="L151" s="37">
        <f t="shared" si="31"/>
        <v>8.9999999999999969E-2</v>
      </c>
      <c r="M151" s="34">
        <f t="shared" si="32"/>
        <v>0.31395348837209291</v>
      </c>
      <c r="N151" s="35">
        <f t="shared" si="33"/>
        <v>15.243157599999998</v>
      </c>
      <c r="O151" s="35">
        <f t="shared" si="34"/>
        <v>11.600987199999999</v>
      </c>
      <c r="P151" s="33">
        <f t="shared" si="35"/>
        <v>3.6421703999999995</v>
      </c>
      <c r="Q151" s="34">
        <f t="shared" si="36"/>
        <v>0.31395348837209303</v>
      </c>
      <c r="R151" s="33">
        <f>VLOOKUP(A151,'[1]Kharif tonnage acres2025'!A151:C1941,2,FALSE)</f>
        <v>32.299999999999997</v>
      </c>
      <c r="S151" s="33">
        <f>VLOOKUP(A151,'[1]Kharif tonnage acres2025'!A150:C1941,3,FALSE)</f>
        <v>360</v>
      </c>
      <c r="T151" s="32" t="s">
        <v>384</v>
      </c>
    </row>
    <row r="152" spans="1:20" ht="16.5" customHeight="1" thickBot="1" x14ac:dyDescent="0.25">
      <c r="A152" s="36">
        <v>1727337282117</v>
      </c>
      <c r="B152" s="36">
        <v>7</v>
      </c>
      <c r="C152" s="36">
        <v>15.69</v>
      </c>
      <c r="D152" s="36">
        <v>1</v>
      </c>
      <c r="E152" s="36">
        <v>11.97</v>
      </c>
      <c r="F152" s="36">
        <v>3.72</v>
      </c>
      <c r="G152" s="36">
        <v>1.1599999999999999</v>
      </c>
      <c r="H152" s="36">
        <v>0.88</v>
      </c>
      <c r="I152" s="36">
        <v>0.28000000000000003</v>
      </c>
      <c r="J152" s="37">
        <f>G152/3</f>
        <v>0.38666666666666666</v>
      </c>
      <c r="K152" s="37">
        <f>H152/3</f>
        <v>0.29333333333333333</v>
      </c>
      <c r="L152" s="37">
        <f t="shared" si="31"/>
        <v>9.3333333333333324E-2</v>
      </c>
      <c r="M152" s="34">
        <f t="shared" si="32"/>
        <v>0.31818181818181812</v>
      </c>
      <c r="N152" s="35">
        <f t="shared" si="33"/>
        <v>15.647843199999999</v>
      </c>
      <c r="O152" s="35">
        <f t="shared" si="34"/>
        <v>11.870777599999998</v>
      </c>
      <c r="P152" s="33">
        <f t="shared" si="35"/>
        <v>3.7770656000000002</v>
      </c>
      <c r="Q152" s="34">
        <f t="shared" si="36"/>
        <v>0.31818181818181823</v>
      </c>
      <c r="R152" s="33">
        <f>VLOOKUP(A152,'[1]Kharif tonnage acres2025'!A152:C1942,2,FALSE)</f>
        <v>7.65</v>
      </c>
      <c r="S152" s="33">
        <f>VLOOKUP(A152,'[1]Kharif tonnage acres2025'!A151:C1942,3,FALSE)</f>
        <v>80</v>
      </c>
      <c r="T152" s="32" t="s">
        <v>385</v>
      </c>
    </row>
    <row r="153" spans="1:20" ht="16.5" customHeight="1" thickBot="1" x14ac:dyDescent="0.25">
      <c r="A153" s="36">
        <v>1747721137583</v>
      </c>
      <c r="B153" s="36">
        <v>783</v>
      </c>
      <c r="C153" s="36">
        <v>16</v>
      </c>
      <c r="D153" s="36">
        <v>2</v>
      </c>
      <c r="E153" s="36">
        <v>15</v>
      </c>
      <c r="F153" s="36">
        <v>2</v>
      </c>
      <c r="G153" s="36">
        <v>0.4</v>
      </c>
      <c r="H153" s="36">
        <v>0.37</v>
      </c>
      <c r="I153" s="36">
        <v>0.03</v>
      </c>
      <c r="J153" s="36">
        <f>G153</f>
        <v>0.4</v>
      </c>
      <c r="K153" s="36">
        <f>H153</f>
        <v>0.37</v>
      </c>
      <c r="L153" s="36">
        <f t="shared" si="31"/>
        <v>3.0000000000000027E-2</v>
      </c>
      <c r="M153" s="34">
        <f t="shared" si="32"/>
        <v>8.1081081081081155E-2</v>
      </c>
      <c r="N153" s="35">
        <f t="shared" si="33"/>
        <v>16.187424</v>
      </c>
      <c r="O153" s="35">
        <f t="shared" si="34"/>
        <v>14.973367199999998</v>
      </c>
      <c r="P153" s="33">
        <f t="shared" si="35"/>
        <v>1.2140568000000016</v>
      </c>
      <c r="Q153" s="34">
        <f t="shared" si="36"/>
        <v>8.1081081081081197E-2</v>
      </c>
      <c r="R153" s="33">
        <f>VLOOKUP(A153,'[1]Kharif tonnage acres2025'!A153:C1943,2,FALSE)</f>
        <v>4.28</v>
      </c>
      <c r="S153" s="33">
        <f>VLOOKUP(A153,'[1]Kharif tonnage acres2025'!A152:C1943,3,FALSE)</f>
        <v>45</v>
      </c>
      <c r="T153" s="32" t="s">
        <v>386</v>
      </c>
    </row>
    <row r="154" spans="1:20" ht="16.5" customHeight="1" thickBot="1" x14ac:dyDescent="0.25">
      <c r="A154" s="36">
        <v>1719301507922</v>
      </c>
      <c r="B154" s="36">
        <v>783</v>
      </c>
      <c r="C154" s="36">
        <v>14.5</v>
      </c>
      <c r="D154" s="36">
        <v>2</v>
      </c>
      <c r="E154" s="36">
        <v>10.5</v>
      </c>
      <c r="F154" s="36">
        <v>4</v>
      </c>
      <c r="G154" s="36">
        <v>0.36</v>
      </c>
      <c r="H154" s="36">
        <v>0.26</v>
      </c>
      <c r="I154" s="36">
        <v>0.1</v>
      </c>
      <c r="J154" s="36">
        <f>G154</f>
        <v>0.36</v>
      </c>
      <c r="K154" s="36">
        <f>H154</f>
        <v>0.26</v>
      </c>
      <c r="L154" s="36">
        <f t="shared" si="31"/>
        <v>9.9999999999999978E-2</v>
      </c>
      <c r="M154" s="34">
        <f t="shared" si="32"/>
        <v>0.38461538461538453</v>
      </c>
      <c r="N154" s="35">
        <f t="shared" si="33"/>
        <v>14.568681599999998</v>
      </c>
      <c r="O154" s="35">
        <f t="shared" si="34"/>
        <v>10.5218256</v>
      </c>
      <c r="P154" s="33">
        <f t="shared" si="35"/>
        <v>4.0468559999999982</v>
      </c>
      <c r="Q154" s="34">
        <f t="shared" si="36"/>
        <v>0.38461538461538447</v>
      </c>
      <c r="R154" s="33">
        <f>VLOOKUP(A154,'[1]Kharif tonnage acres2025'!A154:C1944,2,FALSE)</f>
        <v>8.32</v>
      </c>
      <c r="S154" s="33">
        <f>VLOOKUP(A154,'[1]Kharif tonnage acres2025'!A153:C1944,3,FALSE)</f>
        <v>100</v>
      </c>
      <c r="T154" s="32" t="s">
        <v>387</v>
      </c>
    </row>
    <row r="155" spans="1:20" ht="16.5" customHeight="1" thickBot="1" x14ac:dyDescent="0.25">
      <c r="A155" s="38">
        <v>1749617693470</v>
      </c>
      <c r="B155" s="36">
        <v>1134</v>
      </c>
      <c r="C155" s="36">
        <v>19</v>
      </c>
      <c r="D155" s="36">
        <v>14</v>
      </c>
      <c r="E155" s="36">
        <v>18</v>
      </c>
      <c r="F155" s="36">
        <v>5</v>
      </c>
      <c r="G155" s="36">
        <v>1.87</v>
      </c>
      <c r="H155" s="36">
        <v>1.46</v>
      </c>
      <c r="I155" s="36">
        <v>0.41</v>
      </c>
      <c r="J155" s="36">
        <f>G155/3</f>
        <v>0.62333333333333341</v>
      </c>
      <c r="K155" s="36">
        <f>H155/3</f>
        <v>0.48666666666666664</v>
      </c>
      <c r="L155" s="36">
        <f t="shared" si="31"/>
        <v>0.13666666666666677</v>
      </c>
      <c r="M155" s="34">
        <f t="shared" si="32"/>
        <v>0.28082191780821941</v>
      </c>
      <c r="N155" s="35">
        <f t="shared" si="33"/>
        <v>25.2254024</v>
      </c>
      <c r="O155" s="35">
        <f t="shared" si="34"/>
        <v>19.694699199999999</v>
      </c>
      <c r="P155" s="33">
        <f t="shared" si="35"/>
        <v>5.5307032000000014</v>
      </c>
      <c r="Q155" s="34">
        <f t="shared" si="36"/>
        <v>0.28082191780821925</v>
      </c>
      <c r="R155" s="33">
        <v>11.76</v>
      </c>
      <c r="S155" s="33">
        <v>120</v>
      </c>
      <c r="T155" s="32" t="s">
        <v>388</v>
      </c>
    </row>
    <row r="156" spans="1:20" ht="16.5" customHeight="1" thickBot="1" x14ac:dyDescent="0.25">
      <c r="A156" s="36">
        <v>1724397412725</v>
      </c>
      <c r="B156" s="36">
        <v>40</v>
      </c>
      <c r="C156" s="36">
        <v>15.53</v>
      </c>
      <c r="D156" s="36">
        <v>1</v>
      </c>
      <c r="E156" s="36">
        <v>13.27</v>
      </c>
      <c r="F156" s="36">
        <v>2.2599999999999998</v>
      </c>
      <c r="G156" s="36">
        <v>1.1499999999999999</v>
      </c>
      <c r="H156" s="36">
        <v>0.98</v>
      </c>
      <c r="I156" s="36">
        <v>0.17</v>
      </c>
      <c r="J156" s="37">
        <f>G156/3</f>
        <v>0.3833333333333333</v>
      </c>
      <c r="K156" s="37">
        <f>H156/3</f>
        <v>0.32666666666666666</v>
      </c>
      <c r="L156" s="37">
        <f t="shared" si="31"/>
        <v>5.6666666666666643E-2</v>
      </c>
      <c r="M156" s="34">
        <f t="shared" si="32"/>
        <v>0.17346938775510198</v>
      </c>
      <c r="N156" s="35">
        <f t="shared" si="33"/>
        <v>15.512947999999998</v>
      </c>
      <c r="O156" s="35">
        <f t="shared" si="34"/>
        <v>13.219729599999999</v>
      </c>
      <c r="P156" s="33">
        <f t="shared" si="35"/>
        <v>2.2932183999999989</v>
      </c>
      <c r="Q156" s="34">
        <f t="shared" si="36"/>
        <v>0.17346938775510196</v>
      </c>
      <c r="R156" s="33">
        <f>VLOOKUP(A156,'[1]Kharif tonnage acres2025'!A156:C1946,2,FALSE)</f>
        <v>11.6</v>
      </c>
      <c r="S156" s="33">
        <f>VLOOKUP(A156,'[1]Kharif tonnage acres2025'!A155:C1946,3,FALSE)</f>
        <v>165</v>
      </c>
      <c r="T156" s="32" t="s">
        <v>389</v>
      </c>
    </row>
    <row r="157" spans="1:20" ht="16.5" customHeight="1" thickBot="1" x14ac:dyDescent="0.25">
      <c r="A157" s="36">
        <v>1712578294060</v>
      </c>
      <c r="B157" s="36">
        <v>770</v>
      </c>
      <c r="C157" s="36">
        <v>18</v>
      </c>
      <c r="D157" s="36">
        <v>2</v>
      </c>
      <c r="E157" s="36">
        <v>15</v>
      </c>
      <c r="F157" s="36">
        <v>3</v>
      </c>
      <c r="G157" s="36">
        <v>2.5</v>
      </c>
      <c r="H157" s="36">
        <v>1.9</v>
      </c>
      <c r="I157" s="36">
        <v>0.6</v>
      </c>
      <c r="J157" s="36">
        <f t="shared" ref="J157:K164" si="39">G157</f>
        <v>2.5</v>
      </c>
      <c r="K157" s="36">
        <f t="shared" si="39"/>
        <v>1.9</v>
      </c>
      <c r="L157" s="36">
        <f t="shared" si="31"/>
        <v>0.60000000000000009</v>
      </c>
      <c r="M157" s="34">
        <f t="shared" si="32"/>
        <v>0.31578947368421056</v>
      </c>
      <c r="N157" s="35">
        <f t="shared" si="33"/>
        <v>101.17139999999999</v>
      </c>
      <c r="O157" s="35">
        <f t="shared" si="34"/>
        <v>76.890263999999988</v>
      </c>
      <c r="P157" s="33">
        <f t="shared" si="35"/>
        <v>24.281136000000004</v>
      </c>
      <c r="Q157" s="34">
        <f t="shared" si="36"/>
        <v>0.31578947368421062</v>
      </c>
      <c r="R157" s="33">
        <f>VLOOKUP(A157,'[1]Kharif tonnage acres2025'!A157:C1947,2,FALSE)</f>
        <v>0.40500000000000003</v>
      </c>
      <c r="S157" s="33">
        <f>VLOOKUP(A157,'[1]Kharif tonnage acres2025'!A156:C1947,3,FALSE)</f>
        <v>25</v>
      </c>
      <c r="T157" s="32" t="s">
        <v>390</v>
      </c>
    </row>
    <row r="158" spans="1:20" ht="16.5" customHeight="1" thickBot="1" x14ac:dyDescent="0.25">
      <c r="A158" s="36">
        <v>1730270441204</v>
      </c>
      <c r="B158" s="36">
        <v>783</v>
      </c>
      <c r="C158" s="36">
        <v>20.2</v>
      </c>
      <c r="D158" s="36">
        <v>2</v>
      </c>
      <c r="E158" s="36">
        <v>10.5</v>
      </c>
      <c r="F158" s="36">
        <v>9.5</v>
      </c>
      <c r="G158" s="36">
        <v>0.5</v>
      </c>
      <c r="H158" s="36">
        <v>0.26</v>
      </c>
      <c r="I158" s="36">
        <v>0.24</v>
      </c>
      <c r="J158" s="36">
        <f t="shared" si="39"/>
        <v>0.5</v>
      </c>
      <c r="K158" s="36">
        <f t="shared" si="39"/>
        <v>0.26</v>
      </c>
      <c r="L158" s="36">
        <f t="shared" si="31"/>
        <v>0.24</v>
      </c>
      <c r="M158" s="34">
        <f t="shared" si="32"/>
        <v>0.92307692307692302</v>
      </c>
      <c r="N158" s="35">
        <f t="shared" si="33"/>
        <v>20.234279999999998</v>
      </c>
      <c r="O158" s="35">
        <f t="shared" si="34"/>
        <v>10.5218256</v>
      </c>
      <c r="P158" s="33">
        <f t="shared" si="35"/>
        <v>9.7124543999999986</v>
      </c>
      <c r="Q158" s="34">
        <f t="shared" si="36"/>
        <v>0.92307692307692302</v>
      </c>
      <c r="R158" s="33">
        <f>VLOOKUP(A158,'[1]Kharif tonnage acres2025'!A158:C1948,2,FALSE)</f>
        <v>11.15</v>
      </c>
      <c r="S158" s="33">
        <f>VLOOKUP(A158,'[1]Kharif tonnage acres2025'!A157:C1948,3,FALSE)</f>
        <v>110</v>
      </c>
      <c r="T158" s="32" t="s">
        <v>391</v>
      </c>
    </row>
    <row r="159" spans="1:20" ht="16.5" customHeight="1" thickBot="1" x14ac:dyDescent="0.25">
      <c r="A159" s="36">
        <v>1730195272434</v>
      </c>
      <c r="B159" s="36">
        <v>783</v>
      </c>
      <c r="C159" s="36">
        <v>6.5</v>
      </c>
      <c r="D159" s="36">
        <v>2</v>
      </c>
      <c r="E159" s="36">
        <v>8.5</v>
      </c>
      <c r="F159" s="36">
        <v>2.5</v>
      </c>
      <c r="G159" s="36">
        <v>0.16</v>
      </c>
      <c r="H159" s="36">
        <v>0.21</v>
      </c>
      <c r="I159" s="36">
        <v>0.5</v>
      </c>
      <c r="J159" s="36">
        <f t="shared" si="39"/>
        <v>0.16</v>
      </c>
      <c r="K159" s="36">
        <f t="shared" si="39"/>
        <v>0.21</v>
      </c>
      <c r="L159" s="36">
        <f t="shared" si="31"/>
        <v>-4.9999999999999989E-2</v>
      </c>
      <c r="M159" s="34">
        <f t="shared" si="32"/>
        <v>-0.23809523809523805</v>
      </c>
      <c r="N159" s="35">
        <f t="shared" si="33"/>
        <v>6.4749695999999997</v>
      </c>
      <c r="O159" s="35">
        <f t="shared" si="34"/>
        <v>8.4983975999999988</v>
      </c>
      <c r="P159" s="33">
        <f t="shared" si="35"/>
        <v>-2.0234279999999991</v>
      </c>
      <c r="Q159" s="34">
        <f t="shared" si="36"/>
        <v>-0.23809523809523803</v>
      </c>
      <c r="R159" s="33">
        <f>VLOOKUP(A159,'[1]Kharif tonnage acres2025'!A159:C1949,2,FALSE)</f>
        <v>4.09</v>
      </c>
      <c r="S159" s="33">
        <f>VLOOKUP(A159,'[1]Kharif tonnage acres2025'!A158:C1949,3,FALSE)</f>
        <v>60</v>
      </c>
      <c r="T159" s="32" t="s">
        <v>392</v>
      </c>
    </row>
    <row r="160" spans="1:20" ht="16.5" customHeight="1" thickBot="1" x14ac:dyDescent="0.25">
      <c r="A160" s="36">
        <v>1716185982975</v>
      </c>
      <c r="B160" s="36">
        <v>783</v>
      </c>
      <c r="C160" s="36">
        <v>7.5</v>
      </c>
      <c r="D160" s="36">
        <v>2</v>
      </c>
      <c r="E160" s="36">
        <v>7.2</v>
      </c>
      <c r="F160" s="36">
        <v>0.3</v>
      </c>
      <c r="G160" s="36">
        <v>0.19</v>
      </c>
      <c r="H160" s="36">
        <v>0.18</v>
      </c>
      <c r="I160" s="36">
        <v>0.01</v>
      </c>
      <c r="J160" s="36">
        <f t="shared" si="39"/>
        <v>0.19</v>
      </c>
      <c r="K160" s="36">
        <f t="shared" si="39"/>
        <v>0.18</v>
      </c>
      <c r="L160" s="36">
        <f t="shared" si="31"/>
        <v>1.0000000000000009E-2</v>
      </c>
      <c r="M160" s="34">
        <f t="shared" si="32"/>
        <v>5.5555555555555608E-2</v>
      </c>
      <c r="N160" s="35">
        <f t="shared" si="33"/>
        <v>7.6890263999999995</v>
      </c>
      <c r="O160" s="35">
        <f t="shared" si="34"/>
        <v>7.2843407999999989</v>
      </c>
      <c r="P160" s="33">
        <f t="shared" si="35"/>
        <v>0.40468560000000053</v>
      </c>
      <c r="Q160" s="34">
        <f t="shared" si="36"/>
        <v>5.5555555555555636E-2</v>
      </c>
      <c r="R160" s="33">
        <f>VLOOKUP(A160,'[1]Kharif tonnage acres2025'!A160:C1950,2,FALSE)</f>
        <v>9.17</v>
      </c>
      <c r="S160" s="33">
        <f>VLOOKUP(A160,'[1]Kharif tonnage acres2025'!A159:C1950,3,FALSE)</f>
        <v>100</v>
      </c>
      <c r="T160" s="32" t="s">
        <v>393</v>
      </c>
    </row>
    <row r="161" spans="1:20" ht="16.5" customHeight="1" thickBot="1" x14ac:dyDescent="0.25">
      <c r="A161" s="36">
        <v>1748587713053</v>
      </c>
      <c r="B161" s="36">
        <v>1157</v>
      </c>
      <c r="C161" s="36">
        <v>14</v>
      </c>
      <c r="D161" s="36">
        <v>2</v>
      </c>
      <c r="E161" s="36">
        <v>11</v>
      </c>
      <c r="F161" s="36">
        <v>2</v>
      </c>
      <c r="G161" s="36">
        <v>0.34</v>
      </c>
      <c r="H161" s="36">
        <v>0.26</v>
      </c>
      <c r="I161" s="36">
        <v>0.08</v>
      </c>
      <c r="J161" s="36">
        <f t="shared" si="39"/>
        <v>0.34</v>
      </c>
      <c r="K161" s="36">
        <f t="shared" si="39"/>
        <v>0.26</v>
      </c>
      <c r="L161" s="36">
        <f t="shared" si="31"/>
        <v>8.0000000000000016E-2</v>
      </c>
      <c r="M161" s="34">
        <f t="shared" si="32"/>
        <v>0.30769230769230776</v>
      </c>
      <c r="N161" s="35">
        <f t="shared" si="33"/>
        <v>13.7593104</v>
      </c>
      <c r="O161" s="35">
        <f t="shared" si="34"/>
        <v>10.5218256</v>
      </c>
      <c r="P161" s="33">
        <f t="shared" si="35"/>
        <v>3.2374848000000007</v>
      </c>
      <c r="Q161" s="34">
        <f t="shared" si="36"/>
        <v>0.30769230769230776</v>
      </c>
      <c r="R161" s="33">
        <f>VLOOKUP(A161,'[1]Kharif tonnage acres2025'!A161:C1951,2,FALSE)</f>
        <v>5.57</v>
      </c>
      <c r="S161" s="33">
        <f>VLOOKUP(A161,'[1]Kharif tonnage acres2025'!A160:C1951,3,FALSE)</f>
        <v>55</v>
      </c>
      <c r="T161" s="32" t="s">
        <v>394</v>
      </c>
    </row>
    <row r="162" spans="1:20" ht="16.5" customHeight="1" thickBot="1" x14ac:dyDescent="0.25">
      <c r="A162" s="36">
        <v>1747198921053</v>
      </c>
      <c r="B162" s="36">
        <v>767</v>
      </c>
      <c r="C162" s="36">
        <v>17</v>
      </c>
      <c r="D162" s="36">
        <v>2</v>
      </c>
      <c r="E162" s="36">
        <v>13</v>
      </c>
      <c r="F162" s="36">
        <v>4</v>
      </c>
      <c r="G162" s="36">
        <v>0.41</v>
      </c>
      <c r="H162" s="36">
        <v>0.31</v>
      </c>
      <c r="I162" s="36">
        <v>0.1</v>
      </c>
      <c r="J162" s="36">
        <f t="shared" si="39"/>
        <v>0.41</v>
      </c>
      <c r="K162" s="36">
        <f t="shared" si="39"/>
        <v>0.31</v>
      </c>
      <c r="L162" s="36">
        <f t="shared" si="31"/>
        <v>9.9999999999999978E-2</v>
      </c>
      <c r="M162" s="34">
        <f t="shared" si="32"/>
        <v>0.32258064516129026</v>
      </c>
      <c r="N162" s="35">
        <f t="shared" si="33"/>
        <v>16.592109599999997</v>
      </c>
      <c r="O162" s="35">
        <f t="shared" si="34"/>
        <v>12.545253599999999</v>
      </c>
      <c r="P162" s="33">
        <f t="shared" si="35"/>
        <v>4.0468559999999982</v>
      </c>
      <c r="Q162" s="34">
        <f t="shared" si="36"/>
        <v>0.3225806451612902</v>
      </c>
      <c r="R162" s="33">
        <f>VLOOKUP(A162,'[1]Kharif tonnage acres2025'!A162:C1952,2,FALSE)</f>
        <v>5.4</v>
      </c>
      <c r="S162" s="33">
        <f>VLOOKUP(A162,'[1]Kharif tonnage acres2025'!A161:C1952,3,FALSE)</f>
        <v>60</v>
      </c>
      <c r="T162" s="32" t="s">
        <v>395</v>
      </c>
    </row>
    <row r="163" spans="1:20" ht="16.5" customHeight="1" thickBot="1" x14ac:dyDescent="0.25">
      <c r="A163" s="36">
        <v>1746854841698</v>
      </c>
      <c r="B163" s="36">
        <v>783</v>
      </c>
      <c r="C163" s="36">
        <v>13</v>
      </c>
      <c r="D163" s="36">
        <v>2</v>
      </c>
      <c r="E163" s="36">
        <v>6</v>
      </c>
      <c r="F163" s="36">
        <v>7</v>
      </c>
      <c r="G163" s="36">
        <v>0.32</v>
      </c>
      <c r="H163" s="36">
        <v>0.15</v>
      </c>
      <c r="I163" s="36">
        <v>0.17</v>
      </c>
      <c r="J163" s="36">
        <f t="shared" si="39"/>
        <v>0.32</v>
      </c>
      <c r="K163" s="36">
        <f t="shared" si="39"/>
        <v>0.15</v>
      </c>
      <c r="L163" s="36">
        <f t="shared" si="31"/>
        <v>0.17</v>
      </c>
      <c r="M163" s="34">
        <f t="shared" si="32"/>
        <v>1.1333333333333335</v>
      </c>
      <c r="N163" s="35">
        <f t="shared" si="33"/>
        <v>12.949939199999999</v>
      </c>
      <c r="O163" s="35">
        <f t="shared" si="34"/>
        <v>6.0702839999999991</v>
      </c>
      <c r="P163" s="33">
        <f t="shared" si="35"/>
        <v>6.8796552000000002</v>
      </c>
      <c r="Q163" s="34">
        <f t="shared" si="36"/>
        <v>1.1333333333333335</v>
      </c>
      <c r="R163" s="33">
        <f>VLOOKUP(A163,'[1]Kharif tonnage acres2025'!A163:C1953,2,FALSE)</f>
        <v>6.66</v>
      </c>
      <c r="S163" s="33">
        <f>VLOOKUP(A163,'[1]Kharif tonnage acres2025'!A162:C1953,3,FALSE)</f>
        <v>80</v>
      </c>
      <c r="T163" s="32" t="s">
        <v>396</v>
      </c>
    </row>
    <row r="164" spans="1:20" ht="16.5" customHeight="1" thickBot="1" x14ac:dyDescent="0.25">
      <c r="A164" s="36">
        <v>1747890230768</v>
      </c>
      <c r="B164" s="36">
        <v>783</v>
      </c>
      <c r="C164" s="36">
        <v>17.8</v>
      </c>
      <c r="D164" s="36">
        <v>2</v>
      </c>
      <c r="E164" s="36">
        <v>12.5</v>
      </c>
      <c r="F164" s="36">
        <v>5.3</v>
      </c>
      <c r="G164" s="36">
        <v>0.44</v>
      </c>
      <c r="H164" s="36">
        <v>0.31</v>
      </c>
      <c r="I164" s="36">
        <v>0.13</v>
      </c>
      <c r="J164" s="36">
        <f t="shared" si="39"/>
        <v>0.44</v>
      </c>
      <c r="K164" s="36">
        <f t="shared" si="39"/>
        <v>0.31</v>
      </c>
      <c r="L164" s="36">
        <f t="shared" si="31"/>
        <v>0.13</v>
      </c>
      <c r="M164" s="34">
        <f t="shared" si="32"/>
        <v>0.41935483870967744</v>
      </c>
      <c r="N164" s="35">
        <f t="shared" si="33"/>
        <v>17.806166399999999</v>
      </c>
      <c r="O164" s="35">
        <f t="shared" si="34"/>
        <v>12.545253599999999</v>
      </c>
      <c r="P164" s="33">
        <f t="shared" si="35"/>
        <v>5.2609127999999998</v>
      </c>
      <c r="Q164" s="34">
        <f t="shared" si="36"/>
        <v>0.41935483870967744</v>
      </c>
      <c r="R164" s="33">
        <f>VLOOKUP(A164,'[1]Kharif tonnage acres2025'!A164:C1954,2,FALSE)</f>
        <v>4.75</v>
      </c>
      <c r="S164" s="33">
        <f>VLOOKUP(A164,'[1]Kharif tonnage acres2025'!A163:C1954,3,FALSE)</f>
        <v>50</v>
      </c>
      <c r="T164" s="32" t="s">
        <v>397</v>
      </c>
    </row>
    <row r="165" spans="1:20" ht="16.5" customHeight="1" thickBot="1" x14ac:dyDescent="0.25">
      <c r="A165" s="36">
        <v>1727234431388</v>
      </c>
      <c r="B165" s="36">
        <v>7</v>
      </c>
      <c r="C165" s="36">
        <v>17.39</v>
      </c>
      <c r="D165" s="36">
        <v>1</v>
      </c>
      <c r="E165" s="36">
        <v>14.97</v>
      </c>
      <c r="F165" s="36">
        <v>2.42</v>
      </c>
      <c r="G165" s="36">
        <v>1.29</v>
      </c>
      <c r="H165" s="36">
        <v>1.1100000000000001</v>
      </c>
      <c r="I165" s="36">
        <v>0.18</v>
      </c>
      <c r="J165" s="37">
        <f t="shared" ref="J165:J174" si="40">G165/3</f>
        <v>0.43</v>
      </c>
      <c r="K165" s="37">
        <f t="shared" ref="K165:K174" si="41">H165/3</f>
        <v>0.37000000000000005</v>
      </c>
      <c r="L165" s="37">
        <f t="shared" si="31"/>
        <v>5.9999999999999942E-2</v>
      </c>
      <c r="M165" s="34">
        <f t="shared" si="32"/>
        <v>0.16216216216216198</v>
      </c>
      <c r="N165" s="35">
        <f t="shared" si="33"/>
        <v>17.401480799999998</v>
      </c>
      <c r="O165" s="35">
        <f t="shared" si="34"/>
        <v>14.9733672</v>
      </c>
      <c r="P165" s="33">
        <f t="shared" si="35"/>
        <v>2.4281135999999979</v>
      </c>
      <c r="Q165" s="34">
        <f t="shared" si="36"/>
        <v>0.162162162162162</v>
      </c>
      <c r="R165" s="33">
        <f>VLOOKUP(A165,'[1]Kharif tonnage acres2025'!A165:C1955,2,FALSE)</f>
        <v>17.43</v>
      </c>
      <c r="S165" s="33">
        <f>VLOOKUP(A165,'[1]Kharif tonnage acres2025'!A164:C1955,3,FALSE)</f>
        <v>200</v>
      </c>
      <c r="T165" s="32" t="s">
        <v>398</v>
      </c>
    </row>
    <row r="166" spans="1:20" ht="16.5" customHeight="1" thickBot="1" x14ac:dyDescent="0.25">
      <c r="A166" s="38">
        <v>1747124059774</v>
      </c>
      <c r="B166" s="36">
        <v>1133</v>
      </c>
      <c r="C166" s="36">
        <v>18</v>
      </c>
      <c r="D166" s="36">
        <v>14</v>
      </c>
      <c r="E166" s="36">
        <v>15</v>
      </c>
      <c r="F166" s="36">
        <v>3</v>
      </c>
      <c r="G166" s="36">
        <v>1.63</v>
      </c>
      <c r="H166" s="36">
        <v>0.97</v>
      </c>
      <c r="I166" s="36">
        <v>0.66</v>
      </c>
      <c r="J166" s="36">
        <f t="shared" si="40"/>
        <v>0.54333333333333333</v>
      </c>
      <c r="K166" s="36">
        <f t="shared" si="41"/>
        <v>0.32333333333333331</v>
      </c>
      <c r="L166" s="36">
        <f t="shared" si="31"/>
        <v>0.22000000000000003</v>
      </c>
      <c r="M166" s="34">
        <f t="shared" si="32"/>
        <v>0.68041237113402075</v>
      </c>
      <c r="N166" s="35">
        <f t="shared" si="33"/>
        <v>21.987917599999999</v>
      </c>
      <c r="O166" s="35">
        <f t="shared" si="34"/>
        <v>13.084834399999998</v>
      </c>
      <c r="P166" s="33">
        <f t="shared" si="35"/>
        <v>8.9030832000000011</v>
      </c>
      <c r="Q166" s="34">
        <f t="shared" si="36"/>
        <v>0.68041237113402075</v>
      </c>
      <c r="R166" s="33">
        <v>11.49</v>
      </c>
      <c r="S166" s="33">
        <v>130</v>
      </c>
      <c r="T166" s="32" t="s">
        <v>399</v>
      </c>
    </row>
    <row r="167" spans="1:20" ht="16.5" customHeight="1" thickBot="1" x14ac:dyDescent="0.25">
      <c r="A167" s="38">
        <v>1747119805958</v>
      </c>
      <c r="B167" s="36">
        <v>1133</v>
      </c>
      <c r="C167" s="36">
        <v>22</v>
      </c>
      <c r="D167" s="36">
        <v>14</v>
      </c>
      <c r="E167" s="36">
        <v>18</v>
      </c>
      <c r="F167" s="36">
        <v>4</v>
      </c>
      <c r="G167" s="36">
        <v>2.78</v>
      </c>
      <c r="H167" s="36">
        <v>1.93</v>
      </c>
      <c r="I167" s="36">
        <v>0.85</v>
      </c>
      <c r="J167" s="36">
        <f t="shared" si="40"/>
        <v>0.92666666666666664</v>
      </c>
      <c r="K167" s="36">
        <f t="shared" si="41"/>
        <v>0.64333333333333331</v>
      </c>
      <c r="L167" s="36">
        <f t="shared" si="31"/>
        <v>0.28333333333333333</v>
      </c>
      <c r="M167" s="34">
        <f t="shared" si="32"/>
        <v>0.44041450777202074</v>
      </c>
      <c r="N167" s="35">
        <f t="shared" si="33"/>
        <v>37.500865599999997</v>
      </c>
      <c r="O167" s="35">
        <f t="shared" si="34"/>
        <v>26.034773599999998</v>
      </c>
      <c r="P167" s="33">
        <f t="shared" si="35"/>
        <v>11.466092</v>
      </c>
      <c r="Q167" s="34">
        <f t="shared" si="36"/>
        <v>0.44041450777202074</v>
      </c>
      <c r="R167" s="33">
        <v>7.8</v>
      </c>
      <c r="S167" s="33">
        <v>90</v>
      </c>
      <c r="T167" s="32" t="s">
        <v>400</v>
      </c>
    </row>
    <row r="168" spans="1:20" ht="16.5" customHeight="1" thickBot="1" x14ac:dyDescent="0.25">
      <c r="A168" s="36">
        <v>1725513930437</v>
      </c>
      <c r="B168" s="36">
        <v>183</v>
      </c>
      <c r="C168" s="36">
        <v>17.64</v>
      </c>
      <c r="D168" s="36">
        <v>1</v>
      </c>
      <c r="E168" s="36">
        <v>15.33</v>
      </c>
      <c r="F168" s="36">
        <v>2.31</v>
      </c>
      <c r="G168" s="36">
        <v>1.3</v>
      </c>
      <c r="H168" s="36">
        <v>1.1299999999999999</v>
      </c>
      <c r="I168" s="36">
        <v>0.17</v>
      </c>
      <c r="J168" s="37">
        <f t="shared" si="40"/>
        <v>0.43333333333333335</v>
      </c>
      <c r="K168" s="37">
        <f t="shared" si="41"/>
        <v>0.37666666666666665</v>
      </c>
      <c r="L168" s="37">
        <f t="shared" si="31"/>
        <v>5.6666666666666698E-2</v>
      </c>
      <c r="M168" s="34">
        <f t="shared" si="32"/>
        <v>0.15044247787610629</v>
      </c>
      <c r="N168" s="35">
        <f t="shared" si="33"/>
        <v>17.536376000000001</v>
      </c>
      <c r="O168" s="35">
        <f t="shared" si="34"/>
        <v>15.243157599999998</v>
      </c>
      <c r="P168" s="33">
        <f t="shared" si="35"/>
        <v>2.2932184000000024</v>
      </c>
      <c r="Q168" s="34">
        <f t="shared" si="36"/>
        <v>0.15044247787610637</v>
      </c>
      <c r="R168" s="33">
        <f>VLOOKUP(A168,'[1]Kharif tonnage acres2025'!A168:C1958,2,FALSE)</f>
        <v>18.93</v>
      </c>
      <c r="S168" s="33">
        <f>VLOOKUP(A168,'[1]Kharif tonnage acres2025'!A167:C1958,3,FALSE)</f>
        <v>210</v>
      </c>
      <c r="T168" s="32" t="s">
        <v>401</v>
      </c>
    </row>
    <row r="169" spans="1:20" ht="16.5" customHeight="1" thickBot="1" x14ac:dyDescent="0.25">
      <c r="A169" s="36">
        <v>1726030811826</v>
      </c>
      <c r="B169" s="36">
        <v>183</v>
      </c>
      <c r="C169" s="36">
        <v>13.79</v>
      </c>
      <c r="D169" s="36">
        <v>1</v>
      </c>
      <c r="E169" s="36">
        <v>11.28</v>
      </c>
      <c r="F169" s="36">
        <v>2.5099999999999998</v>
      </c>
      <c r="G169" s="36">
        <v>1.02</v>
      </c>
      <c r="H169" s="36">
        <v>0.83</v>
      </c>
      <c r="I169" s="36">
        <v>0.19</v>
      </c>
      <c r="J169" s="37">
        <f t="shared" si="40"/>
        <v>0.34</v>
      </c>
      <c r="K169" s="37">
        <f t="shared" si="41"/>
        <v>0.27666666666666667</v>
      </c>
      <c r="L169" s="37">
        <f t="shared" si="31"/>
        <v>6.3333333333333353E-2</v>
      </c>
      <c r="M169" s="34">
        <f t="shared" si="32"/>
        <v>0.22891566265060248</v>
      </c>
      <c r="N169" s="35">
        <f t="shared" si="33"/>
        <v>13.7593104</v>
      </c>
      <c r="O169" s="35">
        <f t="shared" si="34"/>
        <v>11.1963016</v>
      </c>
      <c r="P169" s="33">
        <f t="shared" si="35"/>
        <v>2.5630088000000004</v>
      </c>
      <c r="Q169" s="34">
        <f t="shared" si="36"/>
        <v>0.22891566265060245</v>
      </c>
      <c r="R169" s="33">
        <f>VLOOKUP(A169,'[1]Kharif tonnage acres2025'!A169:C1959,2,FALSE)</f>
        <v>5.29</v>
      </c>
      <c r="S169" s="33">
        <f>VLOOKUP(A169,'[1]Kharif tonnage acres2025'!A168:C1959,3,FALSE)</f>
        <v>50</v>
      </c>
      <c r="T169" s="32" t="s">
        <v>402</v>
      </c>
    </row>
    <row r="170" spans="1:20" ht="16.5" customHeight="1" thickBot="1" x14ac:dyDescent="0.25">
      <c r="A170" s="36">
        <v>1725268784818</v>
      </c>
      <c r="B170" s="36">
        <v>183</v>
      </c>
      <c r="C170" s="36">
        <v>13.02</v>
      </c>
      <c r="D170" s="36">
        <v>1</v>
      </c>
      <c r="E170" s="36">
        <v>11.77</v>
      </c>
      <c r="F170" s="36">
        <v>1.25</v>
      </c>
      <c r="G170" s="36">
        <v>0.96</v>
      </c>
      <c r="H170" s="36">
        <v>0.87</v>
      </c>
      <c r="I170" s="36">
        <v>0.09</v>
      </c>
      <c r="J170" s="37">
        <f t="shared" si="40"/>
        <v>0.32</v>
      </c>
      <c r="K170" s="37">
        <f t="shared" si="41"/>
        <v>0.28999999999999998</v>
      </c>
      <c r="L170" s="37">
        <f t="shared" si="31"/>
        <v>3.0000000000000027E-2</v>
      </c>
      <c r="M170" s="34">
        <f t="shared" si="32"/>
        <v>0.10344827586206906</v>
      </c>
      <c r="N170" s="35">
        <f t="shared" si="33"/>
        <v>12.949939199999999</v>
      </c>
      <c r="O170" s="35">
        <f t="shared" si="34"/>
        <v>11.735882399999998</v>
      </c>
      <c r="P170" s="33">
        <f t="shared" si="35"/>
        <v>1.2140568000000016</v>
      </c>
      <c r="Q170" s="34">
        <f t="shared" si="36"/>
        <v>0.10344827586206912</v>
      </c>
      <c r="R170" s="33">
        <f>VLOOKUP(A170,'[1]Kharif tonnage acres2025'!A170:C1960,2,FALSE)</f>
        <v>7.09</v>
      </c>
      <c r="S170" s="33">
        <f>VLOOKUP(A170,'[1]Kharif tonnage acres2025'!A169:C1960,3,FALSE)</f>
        <v>75</v>
      </c>
      <c r="T170" s="32" t="s">
        <v>403</v>
      </c>
    </row>
    <row r="171" spans="1:20" ht="16.5" customHeight="1" thickBot="1" x14ac:dyDescent="0.25">
      <c r="A171" s="36">
        <v>1725339798575</v>
      </c>
      <c r="B171" s="36">
        <v>183</v>
      </c>
      <c r="C171" s="36">
        <v>12.25</v>
      </c>
      <c r="D171" s="36">
        <v>1</v>
      </c>
      <c r="E171" s="36">
        <v>10.27</v>
      </c>
      <c r="F171" s="36">
        <v>1.98</v>
      </c>
      <c r="G171" s="36">
        <v>0.9</v>
      </c>
      <c r="H171" s="36">
        <v>0.76</v>
      </c>
      <c r="I171" s="36">
        <v>0.14000000000000001</v>
      </c>
      <c r="J171" s="37">
        <f t="shared" si="40"/>
        <v>0.3</v>
      </c>
      <c r="K171" s="37">
        <f t="shared" si="41"/>
        <v>0.25333333333333335</v>
      </c>
      <c r="L171" s="37">
        <f t="shared" si="31"/>
        <v>4.6666666666666634E-2</v>
      </c>
      <c r="M171" s="34">
        <f t="shared" si="32"/>
        <v>0.18421052631578932</v>
      </c>
      <c r="N171" s="35">
        <f t="shared" si="33"/>
        <v>12.140567999999998</v>
      </c>
      <c r="O171" s="35">
        <f t="shared" si="34"/>
        <v>10.2520352</v>
      </c>
      <c r="P171" s="33">
        <f t="shared" si="35"/>
        <v>1.8885327999999983</v>
      </c>
      <c r="Q171" s="34">
        <f t="shared" si="36"/>
        <v>0.18421052631578932</v>
      </c>
      <c r="R171" s="33">
        <f>VLOOKUP(A171,'[1]Kharif tonnage acres2025'!A171:C1961,2,FALSE)</f>
        <v>28.88</v>
      </c>
      <c r="S171" s="33">
        <f>VLOOKUP(A171,'[1]Kharif tonnage acres2025'!A170:C1961,3,FALSE)</f>
        <v>300</v>
      </c>
      <c r="T171" s="32" t="s">
        <v>404</v>
      </c>
    </row>
    <row r="172" spans="1:20" ht="16.5" customHeight="1" thickBot="1" x14ac:dyDescent="0.25">
      <c r="A172" s="36">
        <v>1727340787741</v>
      </c>
      <c r="B172" s="36">
        <v>7</v>
      </c>
      <c r="C172" s="36">
        <v>18.2</v>
      </c>
      <c r="D172" s="36">
        <v>1</v>
      </c>
      <c r="E172" s="36">
        <v>12.54</v>
      </c>
      <c r="F172" s="36">
        <v>5.66</v>
      </c>
      <c r="G172" s="36">
        <v>1.35</v>
      </c>
      <c r="H172" s="36">
        <v>0.93</v>
      </c>
      <c r="I172" s="36">
        <v>0.42</v>
      </c>
      <c r="J172" s="37">
        <f t="shared" si="40"/>
        <v>0.45</v>
      </c>
      <c r="K172" s="37">
        <f t="shared" si="41"/>
        <v>0.31</v>
      </c>
      <c r="L172" s="37">
        <f t="shared" si="31"/>
        <v>0.14000000000000001</v>
      </c>
      <c r="M172" s="34">
        <f t="shared" si="32"/>
        <v>0.45161290322580649</v>
      </c>
      <c r="N172" s="35">
        <f t="shared" si="33"/>
        <v>18.210851999999999</v>
      </c>
      <c r="O172" s="35">
        <f t="shared" si="34"/>
        <v>12.545253599999999</v>
      </c>
      <c r="P172" s="33">
        <f t="shared" si="35"/>
        <v>5.6655984000000004</v>
      </c>
      <c r="Q172" s="34">
        <f t="shared" si="36"/>
        <v>0.45161290322580655</v>
      </c>
      <c r="R172" s="33">
        <f>VLOOKUP(A172,'[1]Kharif tonnage acres2025'!A172:C1962,2,FALSE)</f>
        <v>45.89</v>
      </c>
      <c r="S172" s="33">
        <f>VLOOKUP(A172,'[1]Kharif tonnage acres2025'!A171:C1962,3,FALSE)</f>
        <v>480</v>
      </c>
      <c r="T172" s="32" t="s">
        <v>405</v>
      </c>
    </row>
    <row r="173" spans="1:20" ht="16.5" customHeight="1" thickBot="1" x14ac:dyDescent="0.25">
      <c r="A173" s="36">
        <v>1726284919075</v>
      </c>
      <c r="B173" s="36">
        <v>183</v>
      </c>
      <c r="C173" s="36">
        <v>16.34</v>
      </c>
      <c r="D173" s="36">
        <v>1</v>
      </c>
      <c r="E173" s="36">
        <v>13.67</v>
      </c>
      <c r="F173" s="36">
        <v>2.67</v>
      </c>
      <c r="G173" s="36">
        <v>1.21</v>
      </c>
      <c r="H173" s="36">
        <v>1.01</v>
      </c>
      <c r="I173" s="36">
        <v>0.2</v>
      </c>
      <c r="J173" s="37">
        <f t="shared" si="40"/>
        <v>0.40333333333333332</v>
      </c>
      <c r="K173" s="37">
        <f t="shared" si="41"/>
        <v>0.33666666666666667</v>
      </c>
      <c r="L173" s="37">
        <f t="shared" si="31"/>
        <v>6.6666666666666652E-2</v>
      </c>
      <c r="M173" s="34">
        <f t="shared" si="32"/>
        <v>0.19801980198019797</v>
      </c>
      <c r="N173" s="35">
        <f t="shared" si="33"/>
        <v>16.322319199999999</v>
      </c>
      <c r="O173" s="35">
        <f t="shared" si="34"/>
        <v>13.6244152</v>
      </c>
      <c r="P173" s="33">
        <f t="shared" si="35"/>
        <v>2.6979039999999994</v>
      </c>
      <c r="Q173" s="34">
        <f t="shared" si="36"/>
        <v>0.19801980198019797</v>
      </c>
      <c r="R173" s="33">
        <f>VLOOKUP(A173,'[1]Kharif tonnage acres2025'!A173:C1963,2,FALSE)</f>
        <v>19.100000000000001</v>
      </c>
      <c r="S173" s="33">
        <f>VLOOKUP(A173,'[1]Kharif tonnage acres2025'!A172:C1963,3,FALSE)</f>
        <v>200</v>
      </c>
      <c r="T173" s="32" t="s">
        <v>406</v>
      </c>
    </row>
    <row r="174" spans="1:20" ht="16.5" customHeight="1" thickBot="1" x14ac:dyDescent="0.25">
      <c r="A174" s="36">
        <v>1727756936915</v>
      </c>
      <c r="B174" s="36">
        <v>188</v>
      </c>
      <c r="C174" s="36">
        <v>15.81</v>
      </c>
      <c r="D174" s="36">
        <v>1</v>
      </c>
      <c r="E174" s="36">
        <v>14.48</v>
      </c>
      <c r="F174" s="36">
        <v>1.33</v>
      </c>
      <c r="G174" s="36">
        <v>1.17</v>
      </c>
      <c r="H174" s="36">
        <v>1.07</v>
      </c>
      <c r="I174" s="36">
        <v>0.1</v>
      </c>
      <c r="J174" s="37">
        <f t="shared" si="40"/>
        <v>0.38999999999999996</v>
      </c>
      <c r="K174" s="37">
        <f t="shared" si="41"/>
        <v>0.35666666666666669</v>
      </c>
      <c r="L174" s="37">
        <f t="shared" si="31"/>
        <v>3.333333333333327E-2</v>
      </c>
      <c r="M174" s="34">
        <f t="shared" si="32"/>
        <v>9.3457943925233461E-2</v>
      </c>
      <c r="N174" s="35">
        <f t="shared" si="33"/>
        <v>15.782738399999998</v>
      </c>
      <c r="O174" s="35">
        <f t="shared" si="34"/>
        <v>14.433786399999999</v>
      </c>
      <c r="P174" s="33">
        <f t="shared" si="35"/>
        <v>1.3489519999999988</v>
      </c>
      <c r="Q174" s="34">
        <f t="shared" si="36"/>
        <v>9.3457943925233572E-2</v>
      </c>
      <c r="R174" s="33">
        <f>VLOOKUP(A174,'[1]Kharif tonnage acres2025'!A174:C1964,2,FALSE)</f>
        <v>8.82</v>
      </c>
      <c r="S174" s="33">
        <f>VLOOKUP(A174,'[1]Kharif tonnage acres2025'!A173:C1964,3,FALSE)</f>
        <v>90</v>
      </c>
      <c r="T174" s="32" t="s">
        <v>407</v>
      </c>
    </row>
    <row r="175" spans="1:20" ht="16.5" customHeight="1" thickBot="1" x14ac:dyDescent="0.25">
      <c r="A175" s="36">
        <v>1748059781360</v>
      </c>
      <c r="B175" s="36">
        <v>783</v>
      </c>
      <c r="C175" s="36">
        <v>12.5</v>
      </c>
      <c r="D175" s="36">
        <v>2</v>
      </c>
      <c r="E175" s="36">
        <v>10.5</v>
      </c>
      <c r="F175" s="36">
        <v>2</v>
      </c>
      <c r="G175" s="36">
        <v>0.31</v>
      </c>
      <c r="H175" s="36">
        <v>0.26</v>
      </c>
      <c r="I175" s="36">
        <v>0.05</v>
      </c>
      <c r="J175" s="36">
        <f t="shared" ref="J175:K182" si="42">G175</f>
        <v>0.31</v>
      </c>
      <c r="K175" s="36">
        <f t="shared" si="42"/>
        <v>0.26</v>
      </c>
      <c r="L175" s="36">
        <f t="shared" si="31"/>
        <v>4.9999999999999989E-2</v>
      </c>
      <c r="M175" s="34">
        <f t="shared" si="32"/>
        <v>0.19230769230769226</v>
      </c>
      <c r="N175" s="35">
        <f t="shared" si="33"/>
        <v>12.545253599999999</v>
      </c>
      <c r="O175" s="35">
        <f t="shared" si="34"/>
        <v>10.5218256</v>
      </c>
      <c r="P175" s="33">
        <f t="shared" si="35"/>
        <v>2.0234279999999991</v>
      </c>
      <c r="Q175" s="34">
        <f t="shared" si="36"/>
        <v>0.19230769230769224</v>
      </c>
      <c r="R175" s="33">
        <f>VLOOKUP(A175,'[1]Kharif tonnage acres2025'!A175:C1965,2,FALSE)</f>
        <v>11.85</v>
      </c>
      <c r="S175" s="33">
        <f>VLOOKUP(A175,'[1]Kharif tonnage acres2025'!A174:C1965,3,FALSE)</f>
        <v>125</v>
      </c>
      <c r="T175" s="32" t="s">
        <v>408</v>
      </c>
    </row>
    <row r="176" spans="1:20" ht="16.5" customHeight="1" thickBot="1" x14ac:dyDescent="0.25">
      <c r="A176" s="36">
        <v>1747649412309</v>
      </c>
      <c r="B176" s="36">
        <v>783</v>
      </c>
      <c r="C176" s="36">
        <v>9</v>
      </c>
      <c r="D176" s="36">
        <v>2</v>
      </c>
      <c r="E176" s="36">
        <v>4.8</v>
      </c>
      <c r="F176" s="36">
        <v>4.2</v>
      </c>
      <c r="G176" s="36">
        <v>0.22</v>
      </c>
      <c r="H176" s="36">
        <v>0.12</v>
      </c>
      <c r="I176" s="36">
        <v>0.1</v>
      </c>
      <c r="J176" s="36">
        <f t="shared" si="42"/>
        <v>0.22</v>
      </c>
      <c r="K176" s="36">
        <f t="shared" si="42"/>
        <v>0.12</v>
      </c>
      <c r="L176" s="36">
        <f t="shared" si="31"/>
        <v>0.1</v>
      </c>
      <c r="M176" s="34">
        <f t="shared" si="32"/>
        <v>0.83333333333333337</v>
      </c>
      <c r="N176" s="35">
        <f t="shared" si="33"/>
        <v>8.9030831999999993</v>
      </c>
      <c r="O176" s="35">
        <f t="shared" si="34"/>
        <v>4.8562271999999993</v>
      </c>
      <c r="P176" s="33">
        <f t="shared" si="35"/>
        <v>4.046856</v>
      </c>
      <c r="Q176" s="34">
        <f t="shared" si="36"/>
        <v>0.83333333333333348</v>
      </c>
      <c r="R176" s="33">
        <f>VLOOKUP(A176,'[1]Kharif tonnage acres2025'!A176:C1966,2,FALSE)</f>
        <v>8.0299999999999994</v>
      </c>
      <c r="S176" s="33">
        <f>VLOOKUP(A176,'[1]Kharif tonnage acres2025'!A175:C1966,3,FALSE)</f>
        <v>85</v>
      </c>
      <c r="T176" s="32" t="s">
        <v>409</v>
      </c>
    </row>
    <row r="177" spans="1:20" ht="16.5" customHeight="1" thickBot="1" x14ac:dyDescent="0.25">
      <c r="A177" s="36">
        <v>1723096033689</v>
      </c>
      <c r="B177" s="36">
        <v>783</v>
      </c>
      <c r="C177" s="36">
        <v>14.5</v>
      </c>
      <c r="D177" s="36">
        <v>2</v>
      </c>
      <c r="E177" s="36">
        <v>11.7</v>
      </c>
      <c r="F177" s="36">
        <v>2.8</v>
      </c>
      <c r="G177" s="36">
        <v>0.36</v>
      </c>
      <c r="H177" s="36">
        <v>0.28999999999999998</v>
      </c>
      <c r="I177" s="36">
        <v>7.0000000000000007E-2</v>
      </c>
      <c r="J177" s="36">
        <f t="shared" si="42"/>
        <v>0.36</v>
      </c>
      <c r="K177" s="36">
        <f t="shared" si="42"/>
        <v>0.28999999999999998</v>
      </c>
      <c r="L177" s="36">
        <f t="shared" si="31"/>
        <v>7.0000000000000007E-2</v>
      </c>
      <c r="M177" s="34">
        <f t="shared" si="32"/>
        <v>0.24137931034482762</v>
      </c>
      <c r="N177" s="35">
        <f t="shared" si="33"/>
        <v>14.568681599999998</v>
      </c>
      <c r="O177" s="35">
        <f t="shared" si="34"/>
        <v>11.735882399999998</v>
      </c>
      <c r="P177" s="33">
        <f t="shared" si="35"/>
        <v>2.8327992000000002</v>
      </c>
      <c r="Q177" s="34">
        <f t="shared" si="36"/>
        <v>0.24137931034482765</v>
      </c>
      <c r="R177" s="33">
        <f>VLOOKUP(A177,'[1]Kharif tonnage acres2025'!A177:C1967,2,FALSE)</f>
        <v>7.2</v>
      </c>
      <c r="S177" s="33">
        <f>VLOOKUP(A177,'[1]Kharif tonnage acres2025'!A176:C1967,3,FALSE)</f>
        <v>80</v>
      </c>
      <c r="T177" s="32" t="s">
        <v>410</v>
      </c>
    </row>
    <row r="178" spans="1:20" ht="16.5" customHeight="1" thickBot="1" x14ac:dyDescent="0.25">
      <c r="A178" s="36">
        <v>1747025829152</v>
      </c>
      <c r="B178" s="36">
        <v>783</v>
      </c>
      <c r="C178" s="36">
        <v>8.5</v>
      </c>
      <c r="D178" s="36">
        <v>2</v>
      </c>
      <c r="E178" s="36">
        <v>2.8</v>
      </c>
      <c r="F178" s="36">
        <v>5.7</v>
      </c>
      <c r="G178" s="36">
        <v>0.21</v>
      </c>
      <c r="H178" s="36">
        <v>7.0000000000000007E-2</v>
      </c>
      <c r="I178" s="36">
        <v>0.14000000000000001</v>
      </c>
      <c r="J178" s="36">
        <f t="shared" si="42"/>
        <v>0.21</v>
      </c>
      <c r="K178" s="36">
        <f t="shared" si="42"/>
        <v>7.0000000000000007E-2</v>
      </c>
      <c r="L178" s="36">
        <f t="shared" si="31"/>
        <v>0.13999999999999999</v>
      </c>
      <c r="M178" s="34">
        <f t="shared" si="32"/>
        <v>1.9999999999999996</v>
      </c>
      <c r="N178" s="35">
        <f t="shared" si="33"/>
        <v>8.4983975999999988</v>
      </c>
      <c r="O178" s="35">
        <f t="shared" si="34"/>
        <v>2.8327992000000002</v>
      </c>
      <c r="P178" s="33">
        <f t="shared" si="35"/>
        <v>5.6655983999999986</v>
      </c>
      <c r="Q178" s="34">
        <f t="shared" si="36"/>
        <v>1.9999999999999993</v>
      </c>
      <c r="R178" s="33">
        <f>VLOOKUP(A178,'[1]Kharif tonnage acres2025'!A178:C1968,2,FALSE)</f>
        <v>14.7</v>
      </c>
      <c r="S178" s="33">
        <f>VLOOKUP(A178,'[1]Kharif tonnage acres2025'!A177:C1968,3,FALSE)</f>
        <v>155</v>
      </c>
      <c r="T178" s="32" t="s">
        <v>411</v>
      </c>
    </row>
    <row r="179" spans="1:20" ht="16.5" customHeight="1" thickBot="1" x14ac:dyDescent="0.25">
      <c r="A179" s="36">
        <v>1748077552051</v>
      </c>
      <c r="B179" s="36">
        <v>783</v>
      </c>
      <c r="C179" s="36">
        <v>17.2</v>
      </c>
      <c r="D179" s="36">
        <v>2</v>
      </c>
      <c r="E179" s="36">
        <v>13.8</v>
      </c>
      <c r="F179" s="36">
        <v>3.4</v>
      </c>
      <c r="G179" s="36">
        <v>0.42</v>
      </c>
      <c r="H179" s="36">
        <v>0.34</v>
      </c>
      <c r="I179" s="36">
        <v>0.8</v>
      </c>
      <c r="J179" s="36">
        <f t="shared" si="42"/>
        <v>0.42</v>
      </c>
      <c r="K179" s="36">
        <f t="shared" si="42"/>
        <v>0.34</v>
      </c>
      <c r="L179" s="36">
        <f t="shared" si="31"/>
        <v>7.999999999999996E-2</v>
      </c>
      <c r="M179" s="34">
        <f t="shared" si="32"/>
        <v>0.23529411764705868</v>
      </c>
      <c r="N179" s="35">
        <f t="shared" si="33"/>
        <v>16.996795199999998</v>
      </c>
      <c r="O179" s="35">
        <f t="shared" si="34"/>
        <v>13.7593104</v>
      </c>
      <c r="P179" s="33">
        <f t="shared" si="35"/>
        <v>3.2374847999999972</v>
      </c>
      <c r="Q179" s="34">
        <f t="shared" si="36"/>
        <v>0.2352941176470586</v>
      </c>
      <c r="R179" s="33">
        <f>VLOOKUP(A179,'[1]Kharif tonnage acres2025'!A179:C1969,2,FALSE)</f>
        <v>10.79</v>
      </c>
      <c r="S179" s="33">
        <f>VLOOKUP(A179,'[1]Kharif tonnage acres2025'!A178:C1969,3,FALSE)</f>
        <v>120</v>
      </c>
      <c r="T179" s="32" t="s">
        <v>412</v>
      </c>
    </row>
    <row r="180" spans="1:20" ht="16.5" customHeight="1" thickBot="1" x14ac:dyDescent="0.25">
      <c r="A180" s="36">
        <v>1747199649742</v>
      </c>
      <c r="B180" s="36">
        <v>783</v>
      </c>
      <c r="C180" s="36">
        <v>17.8</v>
      </c>
      <c r="D180" s="36">
        <v>2</v>
      </c>
      <c r="E180" s="36">
        <v>13</v>
      </c>
      <c r="F180" s="36">
        <v>4.8</v>
      </c>
      <c r="G180" s="36">
        <v>0.44</v>
      </c>
      <c r="H180" s="36">
        <v>0.32</v>
      </c>
      <c r="I180" s="36">
        <v>0.12</v>
      </c>
      <c r="J180" s="36">
        <f t="shared" si="42"/>
        <v>0.44</v>
      </c>
      <c r="K180" s="36">
        <f t="shared" si="42"/>
        <v>0.32</v>
      </c>
      <c r="L180" s="36">
        <f t="shared" si="31"/>
        <v>0.12</v>
      </c>
      <c r="M180" s="34">
        <f t="shared" si="32"/>
        <v>0.375</v>
      </c>
      <c r="N180" s="35">
        <f t="shared" si="33"/>
        <v>17.806166399999999</v>
      </c>
      <c r="O180" s="35">
        <f t="shared" si="34"/>
        <v>12.949939199999999</v>
      </c>
      <c r="P180" s="33">
        <f t="shared" si="35"/>
        <v>4.8562271999999993</v>
      </c>
      <c r="Q180" s="34">
        <f t="shared" si="36"/>
        <v>0.37499999999999994</v>
      </c>
      <c r="R180" s="33">
        <f>VLOOKUP(A180,'[1]Kharif tonnage acres2025'!A180:C1970,2,FALSE)</f>
        <v>8.76</v>
      </c>
      <c r="S180" s="33">
        <f>VLOOKUP(A180,'[1]Kharif tonnage acres2025'!A179:C1970,3,FALSE)</f>
        <v>100</v>
      </c>
      <c r="T180" s="32" t="s">
        <v>413</v>
      </c>
    </row>
    <row r="181" spans="1:20" ht="16.5" customHeight="1" thickBot="1" x14ac:dyDescent="0.25">
      <c r="A181" s="36">
        <v>1747629087305</v>
      </c>
      <c r="B181" s="36">
        <v>783</v>
      </c>
      <c r="C181" s="36">
        <v>16.5</v>
      </c>
      <c r="D181" s="36">
        <v>2</v>
      </c>
      <c r="E181" s="36">
        <v>10.5</v>
      </c>
      <c r="F181" s="36">
        <v>6</v>
      </c>
      <c r="G181" s="36">
        <v>0.41</v>
      </c>
      <c r="H181" s="36">
        <v>0.26</v>
      </c>
      <c r="I181" s="36">
        <v>0.15</v>
      </c>
      <c r="J181" s="36">
        <f t="shared" si="42"/>
        <v>0.41</v>
      </c>
      <c r="K181" s="36">
        <f t="shared" si="42"/>
        <v>0.26</v>
      </c>
      <c r="L181" s="36">
        <f t="shared" si="31"/>
        <v>0.14999999999999997</v>
      </c>
      <c r="M181" s="34">
        <f t="shared" si="32"/>
        <v>0.57692307692307676</v>
      </c>
      <c r="N181" s="35">
        <f t="shared" si="33"/>
        <v>16.592109599999997</v>
      </c>
      <c r="O181" s="35">
        <f t="shared" si="34"/>
        <v>10.5218256</v>
      </c>
      <c r="P181" s="33">
        <f t="shared" si="35"/>
        <v>6.0702839999999973</v>
      </c>
      <c r="Q181" s="34">
        <f t="shared" si="36"/>
        <v>0.57692307692307665</v>
      </c>
      <c r="R181" s="33">
        <f>VLOOKUP(A181,'[1]Kharif tonnage acres2025'!A181:C1971,2,FALSE)</f>
        <v>9.8800000000000008</v>
      </c>
      <c r="S181" s="33">
        <f>VLOOKUP(A181,'[1]Kharif tonnage acres2025'!A180:C1971,3,FALSE)</f>
        <v>115</v>
      </c>
      <c r="T181" s="32" t="s">
        <v>414</v>
      </c>
    </row>
    <row r="182" spans="1:20" ht="16.5" customHeight="1" thickBot="1" x14ac:dyDescent="0.25">
      <c r="A182" s="36">
        <v>1746853959358</v>
      </c>
      <c r="B182" s="36">
        <v>767</v>
      </c>
      <c r="C182" s="36">
        <v>8.49</v>
      </c>
      <c r="D182" s="36">
        <v>2</v>
      </c>
      <c r="E182" s="36">
        <v>5.66</v>
      </c>
      <c r="F182" s="36">
        <v>2.83</v>
      </c>
      <c r="G182" s="36">
        <v>0.21</v>
      </c>
      <c r="H182" s="36">
        <v>0.14000000000000001</v>
      </c>
      <c r="I182" s="36">
        <v>7.0000000000000007E-2</v>
      </c>
      <c r="J182" s="36">
        <f t="shared" si="42"/>
        <v>0.21</v>
      </c>
      <c r="K182" s="36">
        <f t="shared" si="42"/>
        <v>0.14000000000000001</v>
      </c>
      <c r="L182" s="36">
        <f t="shared" si="31"/>
        <v>6.9999999999999979E-2</v>
      </c>
      <c r="M182" s="34">
        <f t="shared" si="32"/>
        <v>0.49999999999999978</v>
      </c>
      <c r="N182" s="35">
        <f t="shared" si="33"/>
        <v>8.4983975999999988</v>
      </c>
      <c r="O182" s="35">
        <f t="shared" si="34"/>
        <v>5.6655984000000004</v>
      </c>
      <c r="P182" s="33">
        <f t="shared" si="35"/>
        <v>2.8327991999999984</v>
      </c>
      <c r="Q182" s="34">
        <f t="shared" si="36"/>
        <v>0.49999999999999967</v>
      </c>
      <c r="R182" s="33">
        <f>VLOOKUP(A182,'[1]Kharif tonnage acres2025'!A182:C1972,2,FALSE)</f>
        <v>13.02</v>
      </c>
      <c r="S182" s="33">
        <f>VLOOKUP(A182,'[1]Kharif tonnage acres2025'!A181:C1972,3,FALSE)</f>
        <v>140</v>
      </c>
      <c r="T182" s="32" t="s">
        <v>415</v>
      </c>
    </row>
    <row r="183" spans="1:20" ht="16.5" customHeight="1" thickBot="1" x14ac:dyDescent="0.25">
      <c r="A183" s="36">
        <v>1729661582339</v>
      </c>
      <c r="B183" s="36">
        <v>124</v>
      </c>
      <c r="C183" s="36">
        <v>18.61</v>
      </c>
      <c r="D183" s="36">
        <v>1</v>
      </c>
      <c r="E183" s="36">
        <v>14.97</v>
      </c>
      <c r="F183" s="36">
        <v>3.64</v>
      </c>
      <c r="G183" s="36">
        <v>1.38</v>
      </c>
      <c r="H183" s="36">
        <v>1.1100000000000001</v>
      </c>
      <c r="I183" s="36">
        <v>0.22</v>
      </c>
      <c r="J183" s="37">
        <f>G183/3</f>
        <v>0.45999999999999996</v>
      </c>
      <c r="K183" s="37">
        <f>H183/3</f>
        <v>0.37000000000000005</v>
      </c>
      <c r="L183" s="37">
        <f t="shared" si="31"/>
        <v>8.9999999999999913E-2</v>
      </c>
      <c r="M183" s="34">
        <f t="shared" si="32"/>
        <v>0.24324324324324298</v>
      </c>
      <c r="N183" s="35">
        <f t="shared" si="33"/>
        <v>18.615537599999996</v>
      </c>
      <c r="O183" s="35">
        <f t="shared" si="34"/>
        <v>14.9733672</v>
      </c>
      <c r="P183" s="33">
        <f t="shared" si="35"/>
        <v>3.6421703999999959</v>
      </c>
      <c r="Q183" s="34">
        <f t="shared" si="36"/>
        <v>0.24324324324324298</v>
      </c>
      <c r="R183" s="33">
        <f>VLOOKUP(A183,'[1]Kharif tonnage acres2025'!A183:C1973,2,FALSE)</f>
        <v>8.9700000000000006</v>
      </c>
      <c r="S183" s="33">
        <f>VLOOKUP(A183,'[1]Kharif tonnage acres2025'!A182:C1973,3,FALSE)</f>
        <v>100</v>
      </c>
      <c r="T183" s="32"/>
    </row>
    <row r="184" spans="1:20" ht="16.5" customHeight="1" thickBot="1" x14ac:dyDescent="0.25">
      <c r="A184" s="36">
        <v>1746793312407</v>
      </c>
      <c r="B184" s="36">
        <v>767</v>
      </c>
      <c r="C184" s="36">
        <v>10</v>
      </c>
      <c r="D184" s="36">
        <v>2</v>
      </c>
      <c r="E184" s="36">
        <v>7</v>
      </c>
      <c r="F184" s="36">
        <v>3</v>
      </c>
      <c r="G184" s="36">
        <v>0.24</v>
      </c>
      <c r="H184" s="36">
        <v>0.15</v>
      </c>
      <c r="I184" s="36">
        <v>0.08</v>
      </c>
      <c r="J184" s="36">
        <f>G184</f>
        <v>0.24</v>
      </c>
      <c r="K184" s="36">
        <f>H184</f>
        <v>0.15</v>
      </c>
      <c r="L184" s="36">
        <f t="shared" si="31"/>
        <v>0.09</v>
      </c>
      <c r="M184" s="34">
        <f t="shared" si="32"/>
        <v>0.6</v>
      </c>
      <c r="N184" s="35">
        <f t="shared" si="33"/>
        <v>9.7124543999999986</v>
      </c>
      <c r="O184" s="35">
        <f t="shared" si="34"/>
        <v>6.0702839999999991</v>
      </c>
      <c r="P184" s="33">
        <f t="shared" si="35"/>
        <v>3.6421703999999995</v>
      </c>
      <c r="Q184" s="34">
        <f t="shared" si="36"/>
        <v>0.6</v>
      </c>
      <c r="R184" s="33">
        <f>VLOOKUP(A184,'[1]Kharif tonnage acres2025'!A184:C1974,2,FALSE)</f>
        <v>13.46</v>
      </c>
      <c r="S184" s="33">
        <f>VLOOKUP(A184,'[1]Kharif tonnage acres2025'!A183:C1974,3,FALSE)</f>
        <v>140</v>
      </c>
      <c r="T184" s="32" t="s">
        <v>416</v>
      </c>
    </row>
    <row r="185" spans="1:20" ht="16.5" customHeight="1" thickBot="1" x14ac:dyDescent="0.25">
      <c r="A185" s="36">
        <v>1738921631305</v>
      </c>
      <c r="B185" s="36">
        <v>804</v>
      </c>
      <c r="C185" s="36">
        <v>18.600000000000001</v>
      </c>
      <c r="D185" s="36">
        <v>2</v>
      </c>
      <c r="E185" s="36">
        <v>12.1</v>
      </c>
      <c r="F185" s="36">
        <v>6.5</v>
      </c>
      <c r="G185" s="36">
        <v>0.46</v>
      </c>
      <c r="H185" s="36">
        <v>0.3</v>
      </c>
      <c r="I185" s="36">
        <v>0.16</v>
      </c>
      <c r="J185" s="36">
        <f>G185</f>
        <v>0.46</v>
      </c>
      <c r="K185" s="36">
        <f>H185</f>
        <v>0.3</v>
      </c>
      <c r="L185" s="36">
        <f t="shared" si="31"/>
        <v>0.16000000000000003</v>
      </c>
      <c r="M185" s="34">
        <f t="shared" si="32"/>
        <v>0.53333333333333344</v>
      </c>
      <c r="N185" s="35">
        <f t="shared" si="33"/>
        <v>18.6155376</v>
      </c>
      <c r="O185" s="35">
        <f t="shared" si="34"/>
        <v>12.140567999999998</v>
      </c>
      <c r="P185" s="33">
        <f t="shared" si="35"/>
        <v>6.4749696000000014</v>
      </c>
      <c r="Q185" s="34">
        <f t="shared" si="36"/>
        <v>0.53333333333333355</v>
      </c>
      <c r="R185" s="33">
        <f>VLOOKUP(A185,'[1]Kharif tonnage acres2025'!A185:C1975,2,FALSE)</f>
        <v>3.28</v>
      </c>
      <c r="S185" s="33">
        <f>VLOOKUP(A185,'[1]Kharif tonnage acres2025'!A184:C1975,3,FALSE)</f>
        <v>40</v>
      </c>
      <c r="T185" s="32" t="s">
        <v>417</v>
      </c>
    </row>
    <row r="186" spans="1:20" ht="16.5" customHeight="1" thickBot="1" x14ac:dyDescent="0.25">
      <c r="A186" s="36">
        <v>1726027687486</v>
      </c>
      <c r="B186" s="36">
        <v>183</v>
      </c>
      <c r="C186" s="36">
        <v>20.059999999999999</v>
      </c>
      <c r="D186" s="36">
        <v>1</v>
      </c>
      <c r="E186" s="36">
        <v>16.579999999999998</v>
      </c>
      <c r="F186" s="36">
        <v>3.48</v>
      </c>
      <c r="G186" s="36">
        <v>1.48</v>
      </c>
      <c r="H186" s="36">
        <v>1.23</v>
      </c>
      <c r="I186" s="36">
        <v>0.25</v>
      </c>
      <c r="J186" s="37">
        <f>G186/3</f>
        <v>0.49333333333333335</v>
      </c>
      <c r="K186" s="37">
        <f>H186/3</f>
        <v>0.41</v>
      </c>
      <c r="L186" s="37">
        <f t="shared" si="31"/>
        <v>8.333333333333337E-2</v>
      </c>
      <c r="M186" s="34">
        <f t="shared" si="32"/>
        <v>0.20325203252032531</v>
      </c>
      <c r="N186" s="35">
        <f t="shared" si="33"/>
        <v>19.9644896</v>
      </c>
      <c r="O186" s="35">
        <f t="shared" si="34"/>
        <v>16.592109599999997</v>
      </c>
      <c r="P186" s="33">
        <f t="shared" si="35"/>
        <v>3.3723800000000033</v>
      </c>
      <c r="Q186" s="34">
        <f t="shared" si="36"/>
        <v>0.20325203252032545</v>
      </c>
      <c r="R186" s="33">
        <f>VLOOKUP(A186,'[1]Kharif tonnage acres2025'!A186:C1976,2,FALSE)</f>
        <v>14.68</v>
      </c>
      <c r="S186" s="33">
        <f>VLOOKUP(A186,'[1]Kharif tonnage acres2025'!A185:C1976,3,FALSE)</f>
        <v>150</v>
      </c>
      <c r="T186" s="32" t="s">
        <v>418</v>
      </c>
    </row>
    <row r="187" spans="1:20" ht="16.5" customHeight="1" thickBot="1" x14ac:dyDescent="0.25">
      <c r="A187" s="36">
        <v>1747231174570</v>
      </c>
      <c r="B187" s="36">
        <v>767</v>
      </c>
      <c r="C187" s="36">
        <v>14</v>
      </c>
      <c r="D187" s="36">
        <v>2</v>
      </c>
      <c r="E187" s="36">
        <v>11</v>
      </c>
      <c r="F187" s="36">
        <v>2</v>
      </c>
      <c r="G187" s="36">
        <v>0.35</v>
      </c>
      <c r="H187" s="36">
        <v>0.26</v>
      </c>
      <c r="I187" s="36">
        <v>0.09</v>
      </c>
      <c r="J187" s="36">
        <f t="shared" ref="J187:K189" si="43">G187</f>
        <v>0.35</v>
      </c>
      <c r="K187" s="36">
        <f t="shared" si="43"/>
        <v>0.26</v>
      </c>
      <c r="L187" s="36">
        <f t="shared" si="31"/>
        <v>8.9999999999999969E-2</v>
      </c>
      <c r="M187" s="34">
        <f t="shared" si="32"/>
        <v>0.34615384615384603</v>
      </c>
      <c r="N187" s="35">
        <f t="shared" si="33"/>
        <v>14.163995999999997</v>
      </c>
      <c r="O187" s="35">
        <f t="shared" si="34"/>
        <v>10.5218256</v>
      </c>
      <c r="P187" s="33">
        <f t="shared" si="35"/>
        <v>3.6421703999999977</v>
      </c>
      <c r="Q187" s="34">
        <f t="shared" si="36"/>
        <v>0.34615384615384592</v>
      </c>
      <c r="R187" s="33">
        <f>VLOOKUP(A187,'[1]Kharif tonnage acres2025'!A187:C1977,2,FALSE)</f>
        <v>3.65</v>
      </c>
      <c r="S187" s="33">
        <f>VLOOKUP(A187,'[1]Kharif tonnage acres2025'!A186:C1977,3,FALSE)</f>
        <v>40</v>
      </c>
      <c r="T187" s="32" t="s">
        <v>419</v>
      </c>
    </row>
    <row r="188" spans="1:20" ht="16.5" customHeight="1" thickBot="1" x14ac:dyDescent="0.25">
      <c r="A188" s="36">
        <v>1747744456017</v>
      </c>
      <c r="B188" s="36">
        <v>767</v>
      </c>
      <c r="C188" s="36">
        <v>15.7</v>
      </c>
      <c r="D188" s="36">
        <v>2</v>
      </c>
      <c r="E188" s="36">
        <v>10.9</v>
      </c>
      <c r="F188" s="36">
        <v>4.8</v>
      </c>
      <c r="G188" s="36">
        <v>0.39</v>
      </c>
      <c r="H188" s="36">
        <v>0.27</v>
      </c>
      <c r="I188" s="36">
        <v>0.12</v>
      </c>
      <c r="J188" s="36">
        <f t="shared" si="43"/>
        <v>0.39</v>
      </c>
      <c r="K188" s="36">
        <f t="shared" si="43"/>
        <v>0.27</v>
      </c>
      <c r="L188" s="36">
        <f t="shared" si="31"/>
        <v>0.12</v>
      </c>
      <c r="M188" s="34">
        <f t="shared" si="32"/>
        <v>0.44444444444444442</v>
      </c>
      <c r="N188" s="35">
        <f t="shared" si="33"/>
        <v>15.7827384</v>
      </c>
      <c r="O188" s="35">
        <f t="shared" si="34"/>
        <v>10.9265112</v>
      </c>
      <c r="P188" s="33">
        <f t="shared" si="35"/>
        <v>4.8562271999999993</v>
      </c>
      <c r="Q188" s="34">
        <f t="shared" si="36"/>
        <v>0.44444444444444436</v>
      </c>
      <c r="R188" s="33">
        <f>VLOOKUP(A188,'[1]Kharif tonnage acres2025'!A188:C1978,2,FALSE)</f>
        <v>1.99</v>
      </c>
      <c r="S188" s="33">
        <f>VLOOKUP(A188,'[1]Kharif tonnage acres2025'!A187:C1978,3,FALSE)</f>
        <v>20</v>
      </c>
      <c r="T188" s="32" t="s">
        <v>420</v>
      </c>
    </row>
    <row r="189" spans="1:20" ht="16.5" customHeight="1" thickBot="1" x14ac:dyDescent="0.25">
      <c r="A189" s="36">
        <v>1748863964873</v>
      </c>
      <c r="B189" s="36">
        <v>769</v>
      </c>
      <c r="C189" s="36">
        <v>18.61</v>
      </c>
      <c r="D189" s="36">
        <v>2</v>
      </c>
      <c r="E189" s="36">
        <v>20.2</v>
      </c>
      <c r="F189" s="36">
        <v>1.5</v>
      </c>
      <c r="G189" s="36">
        <v>0.46</v>
      </c>
      <c r="H189" s="36">
        <v>0.5</v>
      </c>
      <c r="I189" s="36">
        <v>0.04</v>
      </c>
      <c r="J189" s="36">
        <f t="shared" si="43"/>
        <v>0.46</v>
      </c>
      <c r="K189" s="36">
        <f t="shared" si="43"/>
        <v>0.5</v>
      </c>
      <c r="L189" s="36">
        <f t="shared" si="31"/>
        <v>-3.999999999999998E-2</v>
      </c>
      <c r="M189" s="34">
        <f t="shared" si="32"/>
        <v>-7.999999999999996E-2</v>
      </c>
      <c r="N189" s="35">
        <f t="shared" si="33"/>
        <v>18.6155376</v>
      </c>
      <c r="O189" s="35">
        <f t="shared" si="34"/>
        <v>20.234279999999998</v>
      </c>
      <c r="P189" s="33">
        <f t="shared" si="35"/>
        <v>-1.6187423999999986</v>
      </c>
      <c r="Q189" s="34">
        <f t="shared" si="36"/>
        <v>-7.9999999999999932E-2</v>
      </c>
      <c r="R189" s="33">
        <f>VLOOKUP(A189,'[1]Kharif tonnage acres2025'!A189:C1979,2,FALSE)</f>
        <v>2.57</v>
      </c>
      <c r="S189" s="33">
        <f>VLOOKUP(A189,'[1]Kharif tonnage acres2025'!A188:C1979,3,FALSE)</f>
        <v>30</v>
      </c>
      <c r="T189" s="32" t="s">
        <v>421</v>
      </c>
    </row>
    <row r="190" spans="1:20" ht="16.5" customHeight="1" thickBot="1" x14ac:dyDescent="0.25">
      <c r="A190" s="36">
        <v>1746017574385</v>
      </c>
      <c r="B190" s="36">
        <v>182</v>
      </c>
      <c r="C190" s="36">
        <v>16.54</v>
      </c>
      <c r="D190" s="36">
        <v>1</v>
      </c>
      <c r="E190" s="36">
        <v>12.24</v>
      </c>
      <c r="F190" s="36">
        <v>4.3</v>
      </c>
      <c r="G190" s="36">
        <v>1.22</v>
      </c>
      <c r="H190" s="36">
        <v>0.9</v>
      </c>
      <c r="I190" s="36">
        <v>0.32</v>
      </c>
      <c r="J190" s="37">
        <f>G190/3</f>
        <v>0.40666666666666668</v>
      </c>
      <c r="K190" s="37">
        <f>H190/3</f>
        <v>0.3</v>
      </c>
      <c r="L190" s="37">
        <f t="shared" si="31"/>
        <v>0.10666666666666669</v>
      </c>
      <c r="M190" s="34">
        <f t="shared" si="32"/>
        <v>0.35555555555555562</v>
      </c>
      <c r="N190" s="35">
        <f t="shared" si="33"/>
        <v>16.457214399999998</v>
      </c>
      <c r="O190" s="35">
        <f t="shared" si="34"/>
        <v>12.140567999999998</v>
      </c>
      <c r="P190" s="33">
        <f t="shared" si="35"/>
        <v>4.3166463999999998</v>
      </c>
      <c r="Q190" s="34">
        <f t="shared" si="36"/>
        <v>0.35555555555555557</v>
      </c>
      <c r="R190" s="33">
        <f>VLOOKUP(A190,'[1]Kharif tonnage acres2025'!A190:C1980,2,FALSE)</f>
        <v>17.25</v>
      </c>
      <c r="S190" s="33">
        <f>VLOOKUP(A190,'[1]Kharif tonnage acres2025'!A189:C1980,3,FALSE)</f>
        <v>200</v>
      </c>
      <c r="T190" s="32" t="s">
        <v>422</v>
      </c>
    </row>
    <row r="191" spans="1:20" ht="16.5" customHeight="1" thickBot="1" x14ac:dyDescent="0.25">
      <c r="A191" s="36">
        <v>1747213298587</v>
      </c>
      <c r="B191" s="36">
        <v>809</v>
      </c>
      <c r="C191" s="36">
        <v>16</v>
      </c>
      <c r="D191" s="36">
        <v>2</v>
      </c>
      <c r="E191" s="36">
        <v>13</v>
      </c>
      <c r="F191" s="36">
        <v>2</v>
      </c>
      <c r="G191" s="36">
        <v>0.39</v>
      </c>
      <c r="H191" s="36">
        <v>0.31</v>
      </c>
      <c r="I191" s="36">
        <v>7.0000000000000007E-2</v>
      </c>
      <c r="J191" s="36">
        <f t="shared" ref="J191:J217" si="44">G191</f>
        <v>0.39</v>
      </c>
      <c r="K191" s="36">
        <f t="shared" ref="K191:K217" si="45">H191</f>
        <v>0.31</v>
      </c>
      <c r="L191" s="36">
        <f t="shared" si="31"/>
        <v>8.0000000000000016E-2</v>
      </c>
      <c r="M191" s="34">
        <f t="shared" si="32"/>
        <v>0.25806451612903231</v>
      </c>
      <c r="N191" s="35">
        <f t="shared" si="33"/>
        <v>15.7827384</v>
      </c>
      <c r="O191" s="35">
        <f t="shared" si="34"/>
        <v>12.545253599999999</v>
      </c>
      <c r="P191" s="33">
        <f t="shared" si="35"/>
        <v>3.2374848000000007</v>
      </c>
      <c r="Q191" s="34">
        <f t="shared" si="36"/>
        <v>0.25806451612903236</v>
      </c>
      <c r="R191" s="33">
        <f>VLOOKUP(A191,'[1]Kharif tonnage acres2025'!A191:C1981,2,FALSE)</f>
        <v>4.78</v>
      </c>
      <c r="S191" s="33">
        <f>VLOOKUP(A191,'[1]Kharif tonnage acres2025'!A190:C1981,3,FALSE)</f>
        <v>50</v>
      </c>
      <c r="T191" s="32" t="s">
        <v>423</v>
      </c>
    </row>
    <row r="192" spans="1:20" ht="16.5" customHeight="1" thickBot="1" x14ac:dyDescent="0.25">
      <c r="A192" s="36">
        <v>1747297386536</v>
      </c>
      <c r="B192" s="36">
        <v>809</v>
      </c>
      <c r="C192" s="36">
        <v>6.4</v>
      </c>
      <c r="D192" s="36">
        <v>2</v>
      </c>
      <c r="E192" s="36">
        <v>6</v>
      </c>
      <c r="F192" s="36">
        <v>0.4</v>
      </c>
      <c r="G192" s="36">
        <v>0.16</v>
      </c>
      <c r="H192" s="36">
        <v>0.15</v>
      </c>
      <c r="I192" s="36">
        <v>0.12</v>
      </c>
      <c r="J192" s="36">
        <f t="shared" si="44"/>
        <v>0.16</v>
      </c>
      <c r="K192" s="36">
        <f t="shared" si="45"/>
        <v>0.15</v>
      </c>
      <c r="L192" s="36">
        <f t="shared" si="31"/>
        <v>1.0000000000000009E-2</v>
      </c>
      <c r="M192" s="34">
        <f t="shared" si="32"/>
        <v>6.6666666666666735E-2</v>
      </c>
      <c r="N192" s="35">
        <f t="shared" si="33"/>
        <v>6.4749695999999997</v>
      </c>
      <c r="O192" s="35">
        <f t="shared" si="34"/>
        <v>6.0702839999999991</v>
      </c>
      <c r="P192" s="33">
        <f t="shared" si="35"/>
        <v>0.40468560000000053</v>
      </c>
      <c r="Q192" s="34">
        <f t="shared" si="36"/>
        <v>6.6666666666666763E-2</v>
      </c>
      <c r="R192" s="33">
        <f>VLOOKUP(A192,'[1]Kharif tonnage acres2025'!A192:C1982,2,FALSE)</f>
        <v>5.78</v>
      </c>
      <c r="S192" s="33">
        <f>VLOOKUP(A192,'[1]Kharif tonnage acres2025'!A191:C1982,3,FALSE)</f>
        <v>65</v>
      </c>
      <c r="T192" s="32" t="s">
        <v>424</v>
      </c>
    </row>
    <row r="193" spans="1:20" ht="16.5" customHeight="1" thickBot="1" x14ac:dyDescent="0.25">
      <c r="A193" s="36">
        <v>1746428395232</v>
      </c>
      <c r="B193" s="36">
        <v>758</v>
      </c>
      <c r="C193" s="36">
        <v>16.100000000000001</v>
      </c>
      <c r="D193" s="36">
        <v>2</v>
      </c>
      <c r="E193" s="36">
        <v>11.7</v>
      </c>
      <c r="F193" s="36">
        <v>4.4000000000000004</v>
      </c>
      <c r="G193" s="36">
        <v>0.4</v>
      </c>
      <c r="H193" s="36">
        <v>0.28999999999999998</v>
      </c>
      <c r="I193" s="36">
        <v>0.11</v>
      </c>
      <c r="J193" s="36">
        <f t="shared" si="44"/>
        <v>0.4</v>
      </c>
      <c r="K193" s="36">
        <f t="shared" si="45"/>
        <v>0.28999999999999998</v>
      </c>
      <c r="L193" s="36">
        <f t="shared" si="31"/>
        <v>0.11000000000000004</v>
      </c>
      <c r="M193" s="34">
        <f t="shared" si="32"/>
        <v>0.37931034482758635</v>
      </c>
      <c r="N193" s="35">
        <f t="shared" si="33"/>
        <v>16.187424</v>
      </c>
      <c r="O193" s="35">
        <f t="shared" si="34"/>
        <v>11.735882399999998</v>
      </c>
      <c r="P193" s="33">
        <f t="shared" si="35"/>
        <v>4.4515416000000023</v>
      </c>
      <c r="Q193" s="34">
        <f t="shared" si="36"/>
        <v>0.37931034482758647</v>
      </c>
      <c r="R193" s="33">
        <f>VLOOKUP(A193,'[1]Kharif tonnage acres2025'!A193:C1983,2,FALSE)</f>
        <v>5.63</v>
      </c>
      <c r="S193" s="33">
        <f>VLOOKUP(A193,'[1]Kharif tonnage acres2025'!A192:C1983,3,FALSE)</f>
        <v>60</v>
      </c>
      <c r="T193" s="32" t="s">
        <v>425</v>
      </c>
    </row>
    <row r="194" spans="1:20" ht="16.5" customHeight="1" thickBot="1" x14ac:dyDescent="0.25">
      <c r="A194" s="36">
        <v>1747643909798</v>
      </c>
      <c r="B194" s="36">
        <v>809</v>
      </c>
      <c r="C194" s="36">
        <v>16.59</v>
      </c>
      <c r="D194" s="36">
        <v>2</v>
      </c>
      <c r="E194" s="36">
        <v>9.6999999999999993</v>
      </c>
      <c r="F194" s="36">
        <v>6.89</v>
      </c>
      <c r="G194" s="36">
        <v>0.41</v>
      </c>
      <c r="H194" s="36">
        <v>0.24</v>
      </c>
      <c r="I194" s="36">
        <v>0.16</v>
      </c>
      <c r="J194" s="36">
        <f t="shared" si="44"/>
        <v>0.41</v>
      </c>
      <c r="K194" s="36">
        <f t="shared" si="45"/>
        <v>0.24</v>
      </c>
      <c r="L194" s="36">
        <f t="shared" ref="L194:L257" si="46">J194-K194</f>
        <v>0.16999999999999998</v>
      </c>
      <c r="M194" s="34">
        <f t="shared" ref="M194:M257" si="47">L194/K194</f>
        <v>0.70833333333333326</v>
      </c>
      <c r="N194" s="35">
        <f t="shared" ref="N194:N217" si="48">J194*40.46856</f>
        <v>16.592109599999997</v>
      </c>
      <c r="O194" s="35">
        <f t="shared" ref="O194:O217" si="49">K194*40.46856</f>
        <v>9.7124543999999986</v>
      </c>
      <c r="P194" s="33">
        <f t="shared" ref="P194:P257" si="50">N194-O194</f>
        <v>6.8796551999999984</v>
      </c>
      <c r="Q194" s="34">
        <f t="shared" ref="Q194:Q257" si="51">P194/O194</f>
        <v>0.70833333333333326</v>
      </c>
      <c r="R194" s="33">
        <f>VLOOKUP(A194,'[1]Kharif tonnage acres2025'!A194:C1984,2,FALSE)</f>
        <v>5.13</v>
      </c>
      <c r="S194" s="33">
        <f>VLOOKUP(A194,'[1]Kharif tonnage acres2025'!A193:C1984,3,FALSE)</f>
        <v>60</v>
      </c>
      <c r="T194" s="32" t="s">
        <v>426</v>
      </c>
    </row>
    <row r="195" spans="1:20" ht="16.5" customHeight="1" thickBot="1" x14ac:dyDescent="0.25">
      <c r="A195" s="36">
        <v>1747130504173</v>
      </c>
      <c r="B195" s="36">
        <v>767</v>
      </c>
      <c r="C195" s="36">
        <v>13</v>
      </c>
      <c r="D195" s="36">
        <v>2</v>
      </c>
      <c r="E195" s="36">
        <v>12</v>
      </c>
      <c r="F195" s="36">
        <v>1</v>
      </c>
      <c r="G195" s="36">
        <v>0.32</v>
      </c>
      <c r="H195" s="36">
        <v>0.28999999999999998</v>
      </c>
      <c r="I195" s="36">
        <v>0.02</v>
      </c>
      <c r="J195" s="36">
        <f t="shared" si="44"/>
        <v>0.32</v>
      </c>
      <c r="K195" s="36">
        <f t="shared" si="45"/>
        <v>0.28999999999999998</v>
      </c>
      <c r="L195" s="36">
        <f t="shared" si="46"/>
        <v>3.0000000000000027E-2</v>
      </c>
      <c r="M195" s="34">
        <f t="shared" si="47"/>
        <v>0.10344827586206906</v>
      </c>
      <c r="N195" s="35">
        <f t="shared" si="48"/>
        <v>12.949939199999999</v>
      </c>
      <c r="O195" s="35">
        <f t="shared" si="49"/>
        <v>11.735882399999998</v>
      </c>
      <c r="P195" s="33">
        <f t="shared" si="50"/>
        <v>1.2140568000000016</v>
      </c>
      <c r="Q195" s="34">
        <f t="shared" si="51"/>
        <v>0.10344827586206912</v>
      </c>
      <c r="R195" s="33">
        <f>VLOOKUP(A195,'[1]Kharif tonnage acres2025'!A195:C1985,2,FALSE)</f>
        <v>6.62</v>
      </c>
      <c r="S195" s="33">
        <f>VLOOKUP(A195,'[1]Kharif tonnage acres2025'!A194:C1985,3,FALSE)</f>
        <v>65</v>
      </c>
      <c r="T195" s="32" t="s">
        <v>427</v>
      </c>
    </row>
    <row r="196" spans="1:20" ht="16.5" customHeight="1" thickBot="1" x14ac:dyDescent="0.25">
      <c r="A196" s="36">
        <v>1747822058750</v>
      </c>
      <c r="B196" s="36">
        <v>767</v>
      </c>
      <c r="C196" s="36">
        <v>15.3</v>
      </c>
      <c r="D196" s="36">
        <v>2</v>
      </c>
      <c r="E196" s="36">
        <v>8</v>
      </c>
      <c r="F196" s="36">
        <v>7.3</v>
      </c>
      <c r="G196" s="36">
        <v>0.38</v>
      </c>
      <c r="H196" s="36">
        <v>0.2</v>
      </c>
      <c r="I196" s="36">
        <v>0.18</v>
      </c>
      <c r="J196" s="36">
        <f t="shared" si="44"/>
        <v>0.38</v>
      </c>
      <c r="K196" s="36">
        <f t="shared" si="45"/>
        <v>0.2</v>
      </c>
      <c r="L196" s="36">
        <f t="shared" si="46"/>
        <v>0.18</v>
      </c>
      <c r="M196" s="34">
        <f t="shared" si="47"/>
        <v>0.89999999999999991</v>
      </c>
      <c r="N196" s="35">
        <f t="shared" si="48"/>
        <v>15.378052799999999</v>
      </c>
      <c r="O196" s="35">
        <f t="shared" si="49"/>
        <v>8.093712</v>
      </c>
      <c r="P196" s="33">
        <f t="shared" si="50"/>
        <v>7.2843407999999989</v>
      </c>
      <c r="Q196" s="34">
        <f t="shared" si="51"/>
        <v>0.89999999999999991</v>
      </c>
      <c r="R196" s="33">
        <f>VLOOKUP(A196,'[1]Kharif tonnage acres2025'!A196:C1986,2,FALSE)</f>
        <v>3.26</v>
      </c>
      <c r="S196" s="33">
        <f>VLOOKUP(A196,'[1]Kharif tonnage acres2025'!A195:C1986,3,FALSE)</f>
        <v>35</v>
      </c>
      <c r="T196" s="32" t="s">
        <v>428</v>
      </c>
    </row>
    <row r="197" spans="1:20" ht="16.5" customHeight="1" thickBot="1" x14ac:dyDescent="0.25">
      <c r="A197" s="36">
        <v>1730703382309</v>
      </c>
      <c r="B197" s="36">
        <v>809</v>
      </c>
      <c r="C197" s="36">
        <v>7.2</v>
      </c>
      <c r="D197" s="36">
        <v>2</v>
      </c>
      <c r="E197" s="36">
        <v>5.6</v>
      </c>
      <c r="F197" s="36">
        <v>1.6</v>
      </c>
      <c r="G197" s="36">
        <v>0.18</v>
      </c>
      <c r="H197" s="36">
        <v>0.14000000000000001</v>
      </c>
      <c r="I197" s="36">
        <v>0.04</v>
      </c>
      <c r="J197" s="36">
        <f t="shared" si="44"/>
        <v>0.18</v>
      </c>
      <c r="K197" s="36">
        <f t="shared" si="45"/>
        <v>0.14000000000000001</v>
      </c>
      <c r="L197" s="36">
        <f t="shared" si="46"/>
        <v>3.999999999999998E-2</v>
      </c>
      <c r="M197" s="34">
        <f t="shared" si="47"/>
        <v>0.28571428571428553</v>
      </c>
      <c r="N197" s="35">
        <f t="shared" si="48"/>
        <v>7.2843407999999989</v>
      </c>
      <c r="O197" s="35">
        <f t="shared" si="49"/>
        <v>5.6655984000000004</v>
      </c>
      <c r="P197" s="33">
        <f t="shared" si="50"/>
        <v>1.6187423999999986</v>
      </c>
      <c r="Q197" s="34">
        <f t="shared" si="51"/>
        <v>0.28571428571428542</v>
      </c>
      <c r="R197" s="33">
        <f>VLOOKUP(A197,'[1]Kharif tonnage acres2025'!A197:C1987,2,FALSE)</f>
        <v>0.81</v>
      </c>
      <c r="S197" s="33">
        <f>VLOOKUP(A197,'[1]Kharif tonnage acres2025'!A196:C1987,3,FALSE)</f>
        <v>20</v>
      </c>
      <c r="T197" s="32" t="s">
        <v>429</v>
      </c>
    </row>
    <row r="198" spans="1:20" ht="16.5" customHeight="1" thickBot="1" x14ac:dyDescent="0.25">
      <c r="A198" s="36">
        <v>1747123346002</v>
      </c>
      <c r="B198" s="36">
        <v>809</v>
      </c>
      <c r="C198" s="36">
        <v>18.600000000000001</v>
      </c>
      <c r="D198" s="36">
        <v>2</v>
      </c>
      <c r="E198" s="36">
        <v>10.9</v>
      </c>
      <c r="F198" s="36">
        <v>7.7</v>
      </c>
      <c r="G198" s="36">
        <v>0.46</v>
      </c>
      <c r="H198" s="36">
        <v>0.27</v>
      </c>
      <c r="I198" s="36">
        <v>0.19</v>
      </c>
      <c r="J198" s="36">
        <f t="shared" si="44"/>
        <v>0.46</v>
      </c>
      <c r="K198" s="36">
        <f t="shared" si="45"/>
        <v>0.27</v>
      </c>
      <c r="L198" s="36">
        <f t="shared" si="46"/>
        <v>0.19</v>
      </c>
      <c r="M198" s="34">
        <f t="shared" si="47"/>
        <v>0.70370370370370372</v>
      </c>
      <c r="N198" s="35">
        <f t="shared" si="48"/>
        <v>18.6155376</v>
      </c>
      <c r="O198" s="35">
        <f t="shared" si="49"/>
        <v>10.9265112</v>
      </c>
      <c r="P198" s="33">
        <f t="shared" si="50"/>
        <v>7.6890263999999995</v>
      </c>
      <c r="Q198" s="34">
        <f t="shared" si="51"/>
        <v>0.70370370370370361</v>
      </c>
      <c r="R198" s="33">
        <f>VLOOKUP(A198,'[1]Kharif tonnage acres2025'!A198:C1988,2,FALSE)</f>
        <v>8.82</v>
      </c>
      <c r="S198" s="33">
        <f>VLOOKUP(A198,'[1]Kharif tonnage acres2025'!A197:C1988,3,FALSE)</f>
        <v>120</v>
      </c>
      <c r="T198" s="32" t="s">
        <v>430</v>
      </c>
    </row>
    <row r="199" spans="1:20" ht="16.5" customHeight="1" thickBot="1" x14ac:dyDescent="0.25">
      <c r="A199" s="36">
        <v>1727073145569</v>
      </c>
      <c r="B199" s="36">
        <v>809</v>
      </c>
      <c r="C199" s="36">
        <v>12.9</v>
      </c>
      <c r="D199" s="36">
        <v>2</v>
      </c>
      <c r="E199" s="36">
        <v>12.1</v>
      </c>
      <c r="F199" s="36">
        <v>0.8</v>
      </c>
      <c r="G199" s="36">
        <v>0.32</v>
      </c>
      <c r="H199" s="36">
        <v>0.3</v>
      </c>
      <c r="I199" s="36">
        <v>0.02</v>
      </c>
      <c r="J199" s="36">
        <f t="shared" si="44"/>
        <v>0.32</v>
      </c>
      <c r="K199" s="36">
        <f t="shared" si="45"/>
        <v>0.3</v>
      </c>
      <c r="L199" s="36">
        <f t="shared" si="46"/>
        <v>2.0000000000000018E-2</v>
      </c>
      <c r="M199" s="34">
        <f t="shared" si="47"/>
        <v>6.6666666666666735E-2</v>
      </c>
      <c r="N199" s="35">
        <f t="shared" si="48"/>
        <v>12.949939199999999</v>
      </c>
      <c r="O199" s="35">
        <f t="shared" si="49"/>
        <v>12.140567999999998</v>
      </c>
      <c r="P199" s="33">
        <f t="shared" si="50"/>
        <v>0.80937120000000107</v>
      </c>
      <c r="Q199" s="34">
        <f t="shared" si="51"/>
        <v>6.6666666666666763E-2</v>
      </c>
      <c r="R199" s="33">
        <f>VLOOKUP(A199,'[1]Kharif tonnage acres2025'!A199:C1989,2,FALSE)</f>
        <v>17.7</v>
      </c>
      <c r="S199" s="33">
        <f>VLOOKUP(A199,'[1]Kharif tonnage acres2025'!A198:C1989,3,FALSE)</f>
        <v>190</v>
      </c>
      <c r="T199" s="32" t="s">
        <v>431</v>
      </c>
    </row>
    <row r="200" spans="1:20" ht="16.5" customHeight="1" thickBot="1" x14ac:dyDescent="0.25">
      <c r="A200" s="36">
        <v>1747380417212</v>
      </c>
      <c r="B200" s="36">
        <v>809</v>
      </c>
      <c r="C200" s="36">
        <v>15.3</v>
      </c>
      <c r="D200" s="36">
        <v>2</v>
      </c>
      <c r="E200" s="36">
        <v>12.9</v>
      </c>
      <c r="F200" s="36">
        <v>2.4</v>
      </c>
      <c r="G200" s="36">
        <v>0.38</v>
      </c>
      <c r="H200" s="36">
        <v>0.32</v>
      </c>
      <c r="I200" s="36">
        <v>0.06</v>
      </c>
      <c r="J200" s="36">
        <f t="shared" si="44"/>
        <v>0.38</v>
      </c>
      <c r="K200" s="36">
        <f t="shared" si="45"/>
        <v>0.32</v>
      </c>
      <c r="L200" s="36">
        <f t="shared" si="46"/>
        <v>0.06</v>
      </c>
      <c r="M200" s="34">
        <f t="shared" si="47"/>
        <v>0.1875</v>
      </c>
      <c r="N200" s="35">
        <f t="shared" si="48"/>
        <v>15.378052799999999</v>
      </c>
      <c r="O200" s="35">
        <f t="shared" si="49"/>
        <v>12.949939199999999</v>
      </c>
      <c r="P200" s="33">
        <f t="shared" si="50"/>
        <v>2.4281135999999996</v>
      </c>
      <c r="Q200" s="34">
        <f t="shared" si="51"/>
        <v>0.18749999999999997</v>
      </c>
      <c r="R200" s="33">
        <f>VLOOKUP(A200,'[1]Kharif tonnage acres2025'!A200:C1990,2,FALSE)</f>
        <v>6.88</v>
      </c>
      <c r="S200" s="33">
        <f>VLOOKUP(A200,'[1]Kharif tonnage acres2025'!A199:C1990,3,FALSE)</f>
        <v>85</v>
      </c>
      <c r="T200" s="32" t="s">
        <v>432</v>
      </c>
    </row>
    <row r="201" spans="1:20" ht="16.5" customHeight="1" thickBot="1" x14ac:dyDescent="0.25">
      <c r="A201" s="36">
        <v>1747381013424</v>
      </c>
      <c r="B201" s="36">
        <v>809</v>
      </c>
      <c r="C201" s="36">
        <v>23.4</v>
      </c>
      <c r="D201" s="36">
        <v>2</v>
      </c>
      <c r="E201" s="36">
        <v>16.100000000000001</v>
      </c>
      <c r="F201" s="36">
        <v>7.3</v>
      </c>
      <c r="G201" s="36">
        <v>0.57999999999999996</v>
      </c>
      <c r="H201" s="36">
        <v>0.4</v>
      </c>
      <c r="I201" s="36">
        <v>0.18</v>
      </c>
      <c r="J201" s="36">
        <f t="shared" si="44"/>
        <v>0.57999999999999996</v>
      </c>
      <c r="K201" s="36">
        <f t="shared" si="45"/>
        <v>0.4</v>
      </c>
      <c r="L201" s="36">
        <f t="shared" si="46"/>
        <v>0.17999999999999994</v>
      </c>
      <c r="M201" s="34">
        <f t="shared" si="47"/>
        <v>0.44999999999999984</v>
      </c>
      <c r="N201" s="35">
        <f t="shared" si="48"/>
        <v>23.471764799999995</v>
      </c>
      <c r="O201" s="35">
        <f t="shared" si="49"/>
        <v>16.187424</v>
      </c>
      <c r="P201" s="33">
        <f t="shared" si="50"/>
        <v>7.2843407999999954</v>
      </c>
      <c r="Q201" s="34">
        <f t="shared" si="51"/>
        <v>0.44999999999999973</v>
      </c>
      <c r="R201" s="33">
        <f>VLOOKUP(A201,'[1]Kharif tonnage acres2025'!A201:C1991,2,FALSE)</f>
        <v>6.25</v>
      </c>
      <c r="S201" s="33">
        <f>VLOOKUP(A201,'[1]Kharif tonnage acres2025'!A200:C1991,3,FALSE)</f>
        <v>75</v>
      </c>
      <c r="T201" s="32" t="s">
        <v>433</v>
      </c>
    </row>
    <row r="202" spans="1:20" ht="16.5" customHeight="1" thickBot="1" x14ac:dyDescent="0.25">
      <c r="A202" s="36">
        <v>1748586382974</v>
      </c>
      <c r="B202" s="36">
        <v>1157</v>
      </c>
      <c r="C202" s="36">
        <v>14</v>
      </c>
      <c r="D202" s="36">
        <v>2</v>
      </c>
      <c r="E202" s="36">
        <v>11</v>
      </c>
      <c r="F202" s="36">
        <v>3</v>
      </c>
      <c r="G202" s="36">
        <v>0.36</v>
      </c>
      <c r="H202" s="36">
        <v>0.26</v>
      </c>
      <c r="I202" s="36">
        <v>0.1</v>
      </c>
      <c r="J202" s="36">
        <f t="shared" si="44"/>
        <v>0.36</v>
      </c>
      <c r="K202" s="36">
        <f t="shared" si="45"/>
        <v>0.26</v>
      </c>
      <c r="L202" s="36">
        <f t="shared" si="46"/>
        <v>9.9999999999999978E-2</v>
      </c>
      <c r="M202" s="34">
        <f t="shared" si="47"/>
        <v>0.38461538461538453</v>
      </c>
      <c r="N202" s="35">
        <f t="shared" si="48"/>
        <v>14.568681599999998</v>
      </c>
      <c r="O202" s="35">
        <f t="shared" si="49"/>
        <v>10.5218256</v>
      </c>
      <c r="P202" s="33">
        <f t="shared" si="50"/>
        <v>4.0468559999999982</v>
      </c>
      <c r="Q202" s="34">
        <f t="shared" si="51"/>
        <v>0.38461538461538447</v>
      </c>
      <c r="R202" s="33">
        <f>VLOOKUP(A202,'[1]Kharif tonnage acres2025'!A202:C1992,2,FALSE)</f>
        <v>22.85</v>
      </c>
      <c r="S202" s="33">
        <f>VLOOKUP(A202,'[1]Kharif tonnage acres2025'!A201:C1992,3,FALSE)</f>
        <v>235</v>
      </c>
      <c r="T202" s="32" t="s">
        <v>434</v>
      </c>
    </row>
    <row r="203" spans="1:20" ht="16.5" customHeight="1" thickBot="1" x14ac:dyDescent="0.25">
      <c r="A203" s="36">
        <v>1726732836903</v>
      </c>
      <c r="B203" s="36">
        <v>809</v>
      </c>
      <c r="C203" s="36">
        <v>18.600000000000001</v>
      </c>
      <c r="D203" s="36">
        <v>2</v>
      </c>
      <c r="E203" s="36">
        <v>33.1</v>
      </c>
      <c r="F203" s="36">
        <v>14.5</v>
      </c>
      <c r="G203" s="36">
        <v>0.46</v>
      </c>
      <c r="H203" s="36">
        <v>0.82</v>
      </c>
      <c r="I203" s="36">
        <v>0.36</v>
      </c>
      <c r="J203" s="36">
        <f t="shared" si="44"/>
        <v>0.46</v>
      </c>
      <c r="K203" s="36">
        <f t="shared" si="45"/>
        <v>0.82</v>
      </c>
      <c r="L203" s="36">
        <f t="shared" si="46"/>
        <v>-0.35999999999999993</v>
      </c>
      <c r="M203" s="34">
        <f t="shared" si="47"/>
        <v>-0.43902439024390238</v>
      </c>
      <c r="N203" s="35">
        <f t="shared" si="48"/>
        <v>18.6155376</v>
      </c>
      <c r="O203" s="35">
        <f t="shared" si="49"/>
        <v>33.184219199999994</v>
      </c>
      <c r="P203" s="33">
        <f t="shared" si="50"/>
        <v>-14.568681599999994</v>
      </c>
      <c r="Q203" s="34">
        <f t="shared" si="51"/>
        <v>-0.43902439024390233</v>
      </c>
      <c r="R203" s="33">
        <f>VLOOKUP(A203,'[1]Kharif tonnage acres2025'!A203:C1993,2,FALSE)</f>
        <v>5.92</v>
      </c>
      <c r="S203" s="33">
        <f>VLOOKUP(A203,'[1]Kharif tonnage acres2025'!A202:C1993,3,FALSE)</f>
        <v>75</v>
      </c>
      <c r="T203" s="32" t="s">
        <v>435</v>
      </c>
    </row>
    <row r="204" spans="1:20" ht="16.5" customHeight="1" thickBot="1" x14ac:dyDescent="0.25">
      <c r="A204" s="36">
        <v>1747637899578</v>
      </c>
      <c r="B204" s="36">
        <v>809</v>
      </c>
      <c r="C204" s="36">
        <v>12.5</v>
      </c>
      <c r="D204" s="36">
        <v>2</v>
      </c>
      <c r="E204" s="36">
        <v>12.1</v>
      </c>
      <c r="F204" s="36">
        <v>0.4</v>
      </c>
      <c r="G204" s="36">
        <v>0.31</v>
      </c>
      <c r="H204" s="36">
        <v>0.3</v>
      </c>
      <c r="I204" s="36">
        <v>0.01</v>
      </c>
      <c r="J204" s="36">
        <f t="shared" si="44"/>
        <v>0.31</v>
      </c>
      <c r="K204" s="36">
        <f t="shared" si="45"/>
        <v>0.3</v>
      </c>
      <c r="L204" s="36">
        <f t="shared" si="46"/>
        <v>1.0000000000000009E-2</v>
      </c>
      <c r="M204" s="34">
        <f t="shared" si="47"/>
        <v>3.3333333333333368E-2</v>
      </c>
      <c r="N204" s="35">
        <f t="shared" si="48"/>
        <v>12.545253599999999</v>
      </c>
      <c r="O204" s="35">
        <f t="shared" si="49"/>
        <v>12.140567999999998</v>
      </c>
      <c r="P204" s="33">
        <f t="shared" si="50"/>
        <v>0.40468560000000053</v>
      </c>
      <c r="Q204" s="34">
        <f t="shared" si="51"/>
        <v>3.3333333333333381E-2</v>
      </c>
      <c r="R204" s="33">
        <f>VLOOKUP(A204,'[1]Kharif tonnage acres2025'!A204:C1994,2,FALSE)</f>
        <v>9.1999999999999993</v>
      </c>
      <c r="S204" s="33">
        <f>VLOOKUP(A204,'[1]Kharif tonnage acres2025'!A203:C1994,3,FALSE)</f>
        <v>100</v>
      </c>
      <c r="T204" s="32" t="s">
        <v>436</v>
      </c>
    </row>
    <row r="205" spans="1:20" ht="16.5" customHeight="1" thickBot="1" x14ac:dyDescent="0.25">
      <c r="A205" s="36">
        <v>1748941754893</v>
      </c>
      <c r="B205" s="36">
        <v>1157</v>
      </c>
      <c r="C205" s="36">
        <v>25</v>
      </c>
      <c r="D205" s="36">
        <v>2</v>
      </c>
      <c r="E205" s="36">
        <v>18</v>
      </c>
      <c r="F205" s="36">
        <v>7</v>
      </c>
      <c r="G205" s="36">
        <v>0.62</v>
      </c>
      <c r="H205" s="36">
        <v>0.45</v>
      </c>
      <c r="I205" s="36">
        <v>0.17</v>
      </c>
      <c r="J205" s="36">
        <f t="shared" si="44"/>
        <v>0.62</v>
      </c>
      <c r="K205" s="36">
        <f t="shared" si="45"/>
        <v>0.45</v>
      </c>
      <c r="L205" s="36">
        <f t="shared" si="46"/>
        <v>0.16999999999999998</v>
      </c>
      <c r="M205" s="34">
        <f t="shared" si="47"/>
        <v>0.37777777777777771</v>
      </c>
      <c r="N205" s="35">
        <f t="shared" si="48"/>
        <v>25.090507199999998</v>
      </c>
      <c r="O205" s="35">
        <f t="shared" si="49"/>
        <v>18.210851999999999</v>
      </c>
      <c r="P205" s="33">
        <f t="shared" si="50"/>
        <v>6.8796551999999984</v>
      </c>
      <c r="Q205" s="34">
        <f t="shared" si="51"/>
        <v>0.37777777777777771</v>
      </c>
      <c r="R205" s="33">
        <f>VLOOKUP(A205,'[1]Kharif tonnage acres2025'!A205:C1995,2,FALSE)</f>
        <v>29.31</v>
      </c>
      <c r="S205" s="33">
        <f>VLOOKUP(A205,'[1]Kharif tonnage acres2025'!A204:C1995,3,FALSE)</f>
        <v>320</v>
      </c>
      <c r="T205" s="32" t="s">
        <v>437</v>
      </c>
    </row>
    <row r="206" spans="1:20" ht="16.5" customHeight="1" thickBot="1" x14ac:dyDescent="0.25">
      <c r="A206" s="36">
        <v>1747117073734</v>
      </c>
      <c r="B206" s="36">
        <v>767</v>
      </c>
      <c r="C206" s="36">
        <v>8.09</v>
      </c>
      <c r="D206" s="36">
        <v>2</v>
      </c>
      <c r="E206" s="36">
        <v>6.8</v>
      </c>
      <c r="F206" s="36">
        <v>1.2</v>
      </c>
      <c r="G206" s="36">
        <v>0.2</v>
      </c>
      <c r="H206" s="36">
        <v>0.17</v>
      </c>
      <c r="I206" s="36">
        <v>0.03</v>
      </c>
      <c r="J206" s="36">
        <f t="shared" si="44"/>
        <v>0.2</v>
      </c>
      <c r="K206" s="36">
        <f t="shared" si="45"/>
        <v>0.17</v>
      </c>
      <c r="L206" s="36">
        <f t="shared" si="46"/>
        <v>0.03</v>
      </c>
      <c r="M206" s="34">
        <f t="shared" si="47"/>
        <v>0.1764705882352941</v>
      </c>
      <c r="N206" s="35">
        <f t="shared" si="48"/>
        <v>8.093712</v>
      </c>
      <c r="O206" s="35">
        <f t="shared" si="49"/>
        <v>6.8796552000000002</v>
      </c>
      <c r="P206" s="33">
        <f t="shared" si="50"/>
        <v>1.2140567999999998</v>
      </c>
      <c r="Q206" s="34">
        <f t="shared" si="51"/>
        <v>0.17647058823529407</v>
      </c>
      <c r="R206" s="33">
        <f>VLOOKUP(A206,'[1]Kharif tonnage acres2025'!A206:C1996,2,FALSE)</f>
        <v>9.24</v>
      </c>
      <c r="S206" s="33">
        <f>VLOOKUP(A206,'[1]Kharif tonnage acres2025'!A205:C1996,3,FALSE)</f>
        <v>100</v>
      </c>
      <c r="T206" s="32" t="s">
        <v>438</v>
      </c>
    </row>
    <row r="207" spans="1:20" ht="16.5" customHeight="1" thickBot="1" x14ac:dyDescent="0.25">
      <c r="A207" s="36">
        <v>1747474397613</v>
      </c>
      <c r="B207" s="36">
        <v>809</v>
      </c>
      <c r="C207" s="36">
        <v>20.2</v>
      </c>
      <c r="D207" s="36">
        <v>2</v>
      </c>
      <c r="E207" s="36">
        <v>12.1</v>
      </c>
      <c r="F207" s="36">
        <v>8.1</v>
      </c>
      <c r="G207" s="36">
        <v>0.5</v>
      </c>
      <c r="H207" s="36">
        <v>0.3</v>
      </c>
      <c r="I207" s="36">
        <v>0.2</v>
      </c>
      <c r="J207" s="36">
        <f t="shared" si="44"/>
        <v>0.5</v>
      </c>
      <c r="K207" s="36">
        <f t="shared" si="45"/>
        <v>0.3</v>
      </c>
      <c r="L207" s="36">
        <f t="shared" si="46"/>
        <v>0.2</v>
      </c>
      <c r="M207" s="34">
        <f t="shared" si="47"/>
        <v>0.66666666666666674</v>
      </c>
      <c r="N207" s="35">
        <f t="shared" si="48"/>
        <v>20.234279999999998</v>
      </c>
      <c r="O207" s="35">
        <f t="shared" si="49"/>
        <v>12.140567999999998</v>
      </c>
      <c r="P207" s="33">
        <f t="shared" si="50"/>
        <v>8.093712</v>
      </c>
      <c r="Q207" s="34">
        <f t="shared" si="51"/>
        <v>0.66666666666666674</v>
      </c>
      <c r="R207" s="33">
        <f>VLOOKUP(A207,'[1]Kharif tonnage acres2025'!A207:C1997,2,FALSE)</f>
        <v>2.04</v>
      </c>
      <c r="S207" s="33">
        <f>VLOOKUP(A207,'[1]Kharif tonnage acres2025'!A206:C1997,3,FALSE)</f>
        <v>30</v>
      </c>
      <c r="T207" s="32" t="s">
        <v>439</v>
      </c>
    </row>
    <row r="208" spans="1:20" ht="16.5" customHeight="1" thickBot="1" x14ac:dyDescent="0.25">
      <c r="A208" s="36">
        <v>1748856560297</v>
      </c>
      <c r="B208" s="36">
        <v>1157</v>
      </c>
      <c r="C208" s="36">
        <v>18</v>
      </c>
      <c r="D208" s="36">
        <v>2</v>
      </c>
      <c r="E208" s="36">
        <v>14</v>
      </c>
      <c r="F208" s="36">
        <v>4</v>
      </c>
      <c r="G208" s="36">
        <v>0.46</v>
      </c>
      <c r="H208" s="36">
        <v>0.34</v>
      </c>
      <c r="I208" s="36">
        <v>0.12</v>
      </c>
      <c r="J208" s="36">
        <f t="shared" si="44"/>
        <v>0.46</v>
      </c>
      <c r="K208" s="36">
        <f t="shared" si="45"/>
        <v>0.34</v>
      </c>
      <c r="L208" s="36">
        <f t="shared" si="46"/>
        <v>0.12</v>
      </c>
      <c r="M208" s="34">
        <f t="shared" si="47"/>
        <v>0.3529411764705882</v>
      </c>
      <c r="N208" s="35">
        <f t="shared" si="48"/>
        <v>18.6155376</v>
      </c>
      <c r="O208" s="35">
        <f t="shared" si="49"/>
        <v>13.7593104</v>
      </c>
      <c r="P208" s="33">
        <f t="shared" si="50"/>
        <v>4.8562271999999993</v>
      </c>
      <c r="Q208" s="34">
        <f t="shared" si="51"/>
        <v>0.35294117647058815</v>
      </c>
      <c r="R208" s="33">
        <f>VLOOKUP(A208,'[1]Kharif tonnage acres2025'!A208:C1998,2,FALSE)</f>
        <v>6</v>
      </c>
      <c r="S208" s="33">
        <f>VLOOKUP(A208,'[1]Kharif tonnage acres2025'!A207:C1998,3,FALSE)</f>
        <v>60</v>
      </c>
      <c r="T208" s="32" t="s">
        <v>440</v>
      </c>
    </row>
    <row r="209" spans="1:20" ht="16.5" customHeight="1" thickBot="1" x14ac:dyDescent="0.25">
      <c r="A209" s="36">
        <v>1747468972356</v>
      </c>
      <c r="B209" s="36">
        <v>758</v>
      </c>
      <c r="C209" s="36">
        <v>11.33</v>
      </c>
      <c r="D209" s="36">
        <v>2</v>
      </c>
      <c r="E209" s="36">
        <v>14.16</v>
      </c>
      <c r="F209" s="36">
        <v>2.83</v>
      </c>
      <c r="G209" s="36">
        <v>0.28000000000000003</v>
      </c>
      <c r="H209" s="36">
        <v>0.35</v>
      </c>
      <c r="I209" s="36">
        <v>0.1</v>
      </c>
      <c r="J209" s="36">
        <f t="shared" si="44"/>
        <v>0.28000000000000003</v>
      </c>
      <c r="K209" s="36">
        <f t="shared" si="45"/>
        <v>0.35</v>
      </c>
      <c r="L209" s="36">
        <f t="shared" si="46"/>
        <v>-6.9999999999999951E-2</v>
      </c>
      <c r="M209" s="34">
        <f t="shared" si="47"/>
        <v>-0.19999999999999987</v>
      </c>
      <c r="N209" s="35">
        <f t="shared" si="48"/>
        <v>11.331196800000001</v>
      </c>
      <c r="O209" s="35">
        <f t="shared" si="49"/>
        <v>14.163995999999997</v>
      </c>
      <c r="P209" s="33">
        <f t="shared" si="50"/>
        <v>-2.8327991999999966</v>
      </c>
      <c r="Q209" s="34">
        <f t="shared" si="51"/>
        <v>-0.19999999999999979</v>
      </c>
      <c r="R209" s="33">
        <f>VLOOKUP(A209,'[1]Kharif tonnage acres2025'!A209:C1999,2,FALSE)</f>
        <v>5.91</v>
      </c>
      <c r="S209" s="33">
        <f>VLOOKUP(A209,'[1]Kharif tonnage acres2025'!A208:C1999,3,FALSE)</f>
        <v>60</v>
      </c>
      <c r="T209" s="32" t="s">
        <v>441</v>
      </c>
    </row>
    <row r="210" spans="1:20" ht="16.5" customHeight="1" thickBot="1" x14ac:dyDescent="0.25">
      <c r="A210" s="36">
        <v>1748578424712</v>
      </c>
      <c r="B210" s="36">
        <v>769</v>
      </c>
      <c r="C210" s="36">
        <v>10</v>
      </c>
      <c r="D210" s="36">
        <v>2</v>
      </c>
      <c r="E210" s="36">
        <v>8</v>
      </c>
      <c r="F210" s="36">
        <v>2</v>
      </c>
      <c r="G210" s="36">
        <v>0.2</v>
      </c>
      <c r="H210" s="36">
        <v>0.17</v>
      </c>
      <c r="I210" s="36">
        <v>0.03</v>
      </c>
      <c r="J210" s="36">
        <f t="shared" si="44"/>
        <v>0.2</v>
      </c>
      <c r="K210" s="36">
        <f t="shared" si="45"/>
        <v>0.17</v>
      </c>
      <c r="L210" s="36">
        <f t="shared" si="46"/>
        <v>0.03</v>
      </c>
      <c r="M210" s="34">
        <f t="shared" si="47"/>
        <v>0.1764705882352941</v>
      </c>
      <c r="N210" s="35">
        <f t="shared" si="48"/>
        <v>8.093712</v>
      </c>
      <c r="O210" s="35">
        <f t="shared" si="49"/>
        <v>6.8796552000000002</v>
      </c>
      <c r="P210" s="33">
        <f t="shared" si="50"/>
        <v>1.2140567999999998</v>
      </c>
      <c r="Q210" s="34">
        <f t="shared" si="51"/>
        <v>0.17647058823529407</v>
      </c>
      <c r="R210" s="33">
        <f>VLOOKUP(A210,'[1]Kharif tonnage acres2025'!A210:C2000,2,FALSE)</f>
        <v>7.27</v>
      </c>
      <c r="S210" s="33">
        <f>VLOOKUP(A210,'[1]Kharif tonnage acres2025'!A209:C2000,3,FALSE)</f>
        <v>70</v>
      </c>
      <c r="T210" s="32" t="s">
        <v>442</v>
      </c>
    </row>
    <row r="211" spans="1:20" ht="16.5" customHeight="1" thickBot="1" x14ac:dyDescent="0.25">
      <c r="A211" s="36">
        <v>1748587560548</v>
      </c>
      <c r="B211" s="36">
        <v>1157</v>
      </c>
      <c r="C211" s="36">
        <v>30</v>
      </c>
      <c r="D211" s="36">
        <v>2</v>
      </c>
      <c r="E211" s="36">
        <v>28</v>
      </c>
      <c r="F211" s="36">
        <v>2</v>
      </c>
      <c r="G211" s="36">
        <v>0.8</v>
      </c>
      <c r="H211" s="36">
        <v>0.68</v>
      </c>
      <c r="I211" s="36">
        <v>0.11</v>
      </c>
      <c r="J211" s="36">
        <f t="shared" si="44"/>
        <v>0.8</v>
      </c>
      <c r="K211" s="36">
        <f t="shared" si="45"/>
        <v>0.68</v>
      </c>
      <c r="L211" s="36">
        <f t="shared" si="46"/>
        <v>0.12</v>
      </c>
      <c r="M211" s="34">
        <f t="shared" si="47"/>
        <v>0.1764705882352941</v>
      </c>
      <c r="N211" s="35">
        <f t="shared" si="48"/>
        <v>32.374848</v>
      </c>
      <c r="O211" s="35">
        <f t="shared" si="49"/>
        <v>27.518620800000001</v>
      </c>
      <c r="P211" s="33">
        <f t="shared" si="50"/>
        <v>4.8562271999999993</v>
      </c>
      <c r="Q211" s="34">
        <f t="shared" si="51"/>
        <v>0.17647058823529407</v>
      </c>
      <c r="R211" s="33">
        <f>VLOOKUP(A211,'[1]Kharif tonnage acres2025'!A211:C2001,2,FALSE)</f>
        <v>13.49</v>
      </c>
      <c r="S211" s="33">
        <f>VLOOKUP(A211,'[1]Kharif tonnage acres2025'!A210:C2001,3,FALSE)</f>
        <v>150</v>
      </c>
      <c r="T211" s="32" t="s">
        <v>443</v>
      </c>
    </row>
    <row r="212" spans="1:20" ht="16.5" customHeight="1" thickBot="1" x14ac:dyDescent="0.25">
      <c r="A212" s="36">
        <v>1748586231756</v>
      </c>
      <c r="B212" s="36">
        <v>1157</v>
      </c>
      <c r="C212" s="36">
        <v>15</v>
      </c>
      <c r="D212" s="36">
        <v>2</v>
      </c>
      <c r="E212" s="36">
        <v>11</v>
      </c>
      <c r="F212" s="36">
        <v>3</v>
      </c>
      <c r="G212" s="36">
        <v>0.38</v>
      </c>
      <c r="H212" s="36">
        <v>0.25</v>
      </c>
      <c r="I212" s="36">
        <v>0.12</v>
      </c>
      <c r="J212" s="36">
        <f t="shared" si="44"/>
        <v>0.38</v>
      </c>
      <c r="K212" s="36">
        <f t="shared" si="45"/>
        <v>0.25</v>
      </c>
      <c r="L212" s="36">
        <f t="shared" si="46"/>
        <v>0.13</v>
      </c>
      <c r="M212" s="34">
        <f t="shared" si="47"/>
        <v>0.52</v>
      </c>
      <c r="N212" s="35">
        <f t="shared" si="48"/>
        <v>15.378052799999999</v>
      </c>
      <c r="O212" s="35">
        <f t="shared" si="49"/>
        <v>10.117139999999999</v>
      </c>
      <c r="P212" s="33">
        <f t="shared" si="50"/>
        <v>5.2609127999999998</v>
      </c>
      <c r="Q212" s="34">
        <f t="shared" si="51"/>
        <v>0.52</v>
      </c>
      <c r="R212" s="33">
        <f>VLOOKUP(A212,'[1]Kharif tonnage acres2025'!A212:C2002,2,FALSE)</f>
        <v>8.5</v>
      </c>
      <c r="S212" s="33">
        <f>VLOOKUP(A212,'[1]Kharif tonnage acres2025'!A211:C2002,3,FALSE)</f>
        <v>80</v>
      </c>
      <c r="T212" s="32" t="s">
        <v>444</v>
      </c>
    </row>
    <row r="213" spans="1:20" ht="16.5" customHeight="1" thickBot="1" x14ac:dyDescent="0.25">
      <c r="A213" s="36">
        <v>1748587086191</v>
      </c>
      <c r="B213" s="36">
        <v>1157</v>
      </c>
      <c r="C213" s="36">
        <v>15.7</v>
      </c>
      <c r="D213" s="36">
        <v>2</v>
      </c>
      <c r="E213" s="36">
        <v>10.9</v>
      </c>
      <c r="F213" s="36">
        <v>4.8</v>
      </c>
      <c r="G213" s="36">
        <v>0.39</v>
      </c>
      <c r="H213" s="36">
        <v>0.27</v>
      </c>
      <c r="I213" s="36">
        <v>0.12</v>
      </c>
      <c r="J213" s="36">
        <f t="shared" si="44"/>
        <v>0.39</v>
      </c>
      <c r="K213" s="36">
        <f t="shared" si="45"/>
        <v>0.27</v>
      </c>
      <c r="L213" s="36">
        <f t="shared" si="46"/>
        <v>0.12</v>
      </c>
      <c r="M213" s="34">
        <f t="shared" si="47"/>
        <v>0.44444444444444442</v>
      </c>
      <c r="N213" s="35">
        <f t="shared" si="48"/>
        <v>15.7827384</v>
      </c>
      <c r="O213" s="35">
        <f t="shared" si="49"/>
        <v>10.9265112</v>
      </c>
      <c r="P213" s="33">
        <f t="shared" si="50"/>
        <v>4.8562271999999993</v>
      </c>
      <c r="Q213" s="34">
        <f t="shared" si="51"/>
        <v>0.44444444444444436</v>
      </c>
      <c r="R213" s="33">
        <f>VLOOKUP(A213,'[1]Kharif tonnage acres2025'!A213:C2003,2,FALSE)</f>
        <v>6.37</v>
      </c>
      <c r="S213" s="33">
        <f>VLOOKUP(A213,'[1]Kharif tonnage acres2025'!A212:C2003,3,FALSE)</f>
        <v>80</v>
      </c>
      <c r="T213" s="32" t="s">
        <v>445</v>
      </c>
    </row>
    <row r="214" spans="1:20" ht="16.5" customHeight="1" thickBot="1" x14ac:dyDescent="0.25">
      <c r="A214" s="36">
        <v>1749024028404</v>
      </c>
      <c r="B214" s="36">
        <v>1157</v>
      </c>
      <c r="C214" s="36">
        <v>17.8</v>
      </c>
      <c r="D214" s="36">
        <v>2</v>
      </c>
      <c r="E214" s="36">
        <v>12.5</v>
      </c>
      <c r="F214" s="36">
        <v>5.3</v>
      </c>
      <c r="G214" s="36">
        <v>0.44</v>
      </c>
      <c r="H214" s="36">
        <v>0.31</v>
      </c>
      <c r="I214" s="36">
        <v>0.13</v>
      </c>
      <c r="J214" s="36">
        <f t="shared" si="44"/>
        <v>0.44</v>
      </c>
      <c r="K214" s="36">
        <f t="shared" si="45"/>
        <v>0.31</v>
      </c>
      <c r="L214" s="36">
        <f t="shared" si="46"/>
        <v>0.13</v>
      </c>
      <c r="M214" s="34">
        <f t="shared" si="47"/>
        <v>0.41935483870967744</v>
      </c>
      <c r="N214" s="35">
        <f t="shared" si="48"/>
        <v>17.806166399999999</v>
      </c>
      <c r="O214" s="35">
        <f t="shared" si="49"/>
        <v>12.545253599999999</v>
      </c>
      <c r="P214" s="33">
        <f t="shared" si="50"/>
        <v>5.2609127999999998</v>
      </c>
      <c r="Q214" s="34">
        <f t="shared" si="51"/>
        <v>0.41935483870967744</v>
      </c>
      <c r="R214" s="33">
        <f>VLOOKUP(A214,'[1]Kharif tonnage acres2025'!A214:C2004,2,FALSE)</f>
        <v>5.37</v>
      </c>
      <c r="S214" s="33">
        <f>VLOOKUP(A214,'[1]Kharif tonnage acres2025'!A213:C2004,3,FALSE)</f>
        <v>70</v>
      </c>
      <c r="T214" s="32" t="s">
        <v>446</v>
      </c>
    </row>
    <row r="215" spans="1:20" ht="16.5" customHeight="1" thickBot="1" x14ac:dyDescent="0.25">
      <c r="A215" s="36">
        <v>1726467260482</v>
      </c>
      <c r="B215" s="36">
        <v>845</v>
      </c>
      <c r="C215" s="36">
        <v>17</v>
      </c>
      <c r="D215" s="36">
        <v>2</v>
      </c>
      <c r="E215" s="36">
        <v>11</v>
      </c>
      <c r="F215" s="36">
        <v>6</v>
      </c>
      <c r="G215" s="36">
        <v>0.41</v>
      </c>
      <c r="H215" s="36">
        <v>0.26</v>
      </c>
      <c r="I215" s="36">
        <v>0.15</v>
      </c>
      <c r="J215" s="36">
        <f t="shared" si="44"/>
        <v>0.41</v>
      </c>
      <c r="K215" s="36">
        <f t="shared" si="45"/>
        <v>0.26</v>
      </c>
      <c r="L215" s="36">
        <f t="shared" si="46"/>
        <v>0.14999999999999997</v>
      </c>
      <c r="M215" s="34">
        <f t="shared" si="47"/>
        <v>0.57692307692307676</v>
      </c>
      <c r="N215" s="35">
        <f t="shared" si="48"/>
        <v>16.592109599999997</v>
      </c>
      <c r="O215" s="35">
        <f t="shared" si="49"/>
        <v>10.5218256</v>
      </c>
      <c r="P215" s="33">
        <f t="shared" si="50"/>
        <v>6.0702839999999973</v>
      </c>
      <c r="Q215" s="34">
        <f t="shared" si="51"/>
        <v>0.57692307692307665</v>
      </c>
      <c r="R215" s="33">
        <f>VLOOKUP(A215,'[1]Kharif tonnage acres2025'!A215:C2005,2,FALSE)</f>
        <v>6.34</v>
      </c>
      <c r="S215" s="33">
        <f>VLOOKUP(A215,'[1]Kharif tonnage acres2025'!A214:C2005,3,FALSE)</f>
        <v>65</v>
      </c>
      <c r="T215" s="32" t="s">
        <v>447</v>
      </c>
    </row>
    <row r="216" spans="1:20" ht="16.5" customHeight="1" thickBot="1" x14ac:dyDescent="0.25">
      <c r="A216" s="36">
        <v>1743056465617</v>
      </c>
      <c r="B216" s="36">
        <v>1040</v>
      </c>
      <c r="C216" s="36">
        <v>18</v>
      </c>
      <c r="D216" s="36">
        <v>4</v>
      </c>
      <c r="E216" s="36">
        <v>16.5</v>
      </c>
      <c r="F216" s="36">
        <v>1.5</v>
      </c>
      <c r="G216" s="36">
        <v>0.45</v>
      </c>
      <c r="H216" s="36">
        <v>0.41</v>
      </c>
      <c r="I216" s="36">
        <v>0.04</v>
      </c>
      <c r="J216" s="36">
        <f t="shared" si="44"/>
        <v>0.45</v>
      </c>
      <c r="K216" s="36">
        <f t="shared" si="45"/>
        <v>0.41</v>
      </c>
      <c r="L216" s="36">
        <f t="shared" si="46"/>
        <v>4.0000000000000036E-2</v>
      </c>
      <c r="M216" s="34">
        <f t="shared" si="47"/>
        <v>9.7560975609756184E-2</v>
      </c>
      <c r="N216" s="35">
        <f t="shared" si="48"/>
        <v>18.210851999999999</v>
      </c>
      <c r="O216" s="35">
        <f t="shared" si="49"/>
        <v>16.592109599999997</v>
      </c>
      <c r="P216" s="33">
        <f t="shared" si="50"/>
        <v>1.6187424000000021</v>
      </c>
      <c r="Q216" s="34">
        <f t="shared" si="51"/>
        <v>9.756097560975624E-2</v>
      </c>
      <c r="R216" s="33">
        <f>VLOOKUP(A216,'[1]Kharif tonnage acres2025'!A216:C2006,2,FALSE)</f>
        <v>8.35</v>
      </c>
      <c r="S216" s="33">
        <f>VLOOKUP(A216,'[1]Kharif tonnage acres2025'!A215:C2006,3,FALSE)</f>
        <v>115</v>
      </c>
      <c r="T216" s="32" t="s">
        <v>448</v>
      </c>
    </row>
    <row r="217" spans="1:20" ht="16.5" customHeight="1" thickBot="1" x14ac:dyDescent="0.25">
      <c r="A217" s="36">
        <v>1746258415029</v>
      </c>
      <c r="B217" s="36">
        <v>1128</v>
      </c>
      <c r="C217" s="36">
        <v>17</v>
      </c>
      <c r="D217" s="36">
        <v>4</v>
      </c>
      <c r="E217" s="36">
        <v>14.5</v>
      </c>
      <c r="F217" s="36">
        <v>2.5</v>
      </c>
      <c r="G217" s="36">
        <v>0.42</v>
      </c>
      <c r="H217" s="36">
        <v>0.36</v>
      </c>
      <c r="I217" s="36">
        <v>0.06</v>
      </c>
      <c r="J217" s="36">
        <f t="shared" si="44"/>
        <v>0.42</v>
      </c>
      <c r="K217" s="36">
        <f t="shared" si="45"/>
        <v>0.36</v>
      </c>
      <c r="L217" s="36">
        <f t="shared" si="46"/>
        <v>0.06</v>
      </c>
      <c r="M217" s="34">
        <f t="shared" si="47"/>
        <v>0.16666666666666666</v>
      </c>
      <c r="N217" s="35">
        <f t="shared" si="48"/>
        <v>16.996795199999998</v>
      </c>
      <c r="O217" s="35">
        <f t="shared" si="49"/>
        <v>14.568681599999998</v>
      </c>
      <c r="P217" s="33">
        <f t="shared" si="50"/>
        <v>2.4281135999999996</v>
      </c>
      <c r="Q217" s="34">
        <f t="shared" si="51"/>
        <v>0.16666666666666666</v>
      </c>
      <c r="R217" s="33">
        <f>VLOOKUP(A217,'[1]Kharif tonnage acres2025'!A217:C2007,2,FALSE)</f>
        <v>0</v>
      </c>
      <c r="S217" s="33">
        <f>VLOOKUP(A217,'[1]Kharif tonnage acres2025'!A216:C2007,3,FALSE)</f>
        <v>9.49</v>
      </c>
      <c r="T217" s="32" t="s">
        <v>449</v>
      </c>
    </row>
    <row r="218" spans="1:20" ht="16.5" customHeight="1" x14ac:dyDescent="0.2">
      <c r="M218" s="29"/>
      <c r="N218" s="29"/>
      <c r="O218" s="29"/>
      <c r="P218" s="29"/>
      <c r="Q218" s="29"/>
      <c r="R218" s="29"/>
      <c r="S218" s="29"/>
    </row>
    <row r="219" spans="1:20" ht="16.5" customHeight="1" x14ac:dyDescent="0.2">
      <c r="M219" s="29"/>
      <c r="N219" s="29"/>
      <c r="O219" s="29"/>
      <c r="P219" s="29"/>
      <c r="Q219" s="29"/>
      <c r="R219" s="29"/>
      <c r="S219" s="29"/>
    </row>
    <row r="220" spans="1:20" ht="16.5" customHeight="1" x14ac:dyDescent="0.2">
      <c r="M220" s="29"/>
      <c r="N220" s="29"/>
      <c r="O220" s="29"/>
      <c r="P220" s="29"/>
      <c r="Q220" s="29"/>
      <c r="R220" s="29"/>
      <c r="S220" s="29"/>
    </row>
    <row r="221" spans="1:20" ht="16.5" customHeight="1" x14ac:dyDescent="0.2">
      <c r="M221" s="29"/>
      <c r="N221" s="29"/>
      <c r="O221" s="29"/>
      <c r="P221" s="29"/>
      <c r="Q221" s="29"/>
      <c r="R221" s="29"/>
      <c r="S221" s="29"/>
    </row>
    <row r="222" spans="1:20" ht="16.5" customHeight="1" x14ac:dyDescent="0.2">
      <c r="M222" s="29"/>
      <c r="N222" s="29"/>
      <c r="O222" s="29"/>
      <c r="P222" s="29"/>
      <c r="Q222" s="29"/>
      <c r="R222" s="29"/>
      <c r="S222" s="29"/>
    </row>
    <row r="223" spans="1:20" ht="16.5" customHeight="1" x14ac:dyDescent="0.2">
      <c r="M223" s="29"/>
      <c r="N223" s="29"/>
      <c r="O223" s="29"/>
      <c r="P223" s="29"/>
      <c r="Q223" s="29"/>
      <c r="R223" s="29"/>
      <c r="S223" s="29"/>
    </row>
    <row r="224" spans="1:20" ht="16.5" customHeight="1" x14ac:dyDescent="0.2">
      <c r="M224" s="29"/>
      <c r="N224" s="29"/>
      <c r="O224" s="29"/>
      <c r="P224" s="29"/>
      <c r="Q224" s="29"/>
      <c r="R224" s="29"/>
      <c r="S224" s="29"/>
    </row>
    <row r="225" spans="13:19" ht="16.5" customHeight="1" x14ac:dyDescent="0.2">
      <c r="M225" s="29"/>
      <c r="N225" s="29"/>
      <c r="O225" s="29"/>
      <c r="P225" s="29"/>
      <c r="Q225" s="29"/>
      <c r="R225" s="29"/>
      <c r="S225" s="29"/>
    </row>
    <row r="226" spans="13:19" ht="16.5" customHeight="1" x14ac:dyDescent="0.2">
      <c r="M226" s="29"/>
      <c r="N226" s="29"/>
      <c r="O226" s="29"/>
      <c r="P226" s="29"/>
      <c r="Q226" s="29"/>
      <c r="R226" s="29"/>
      <c r="S226" s="29"/>
    </row>
    <row r="227" spans="13:19" ht="16.5" customHeight="1" x14ac:dyDescent="0.2">
      <c r="M227" s="29"/>
      <c r="N227" s="29"/>
      <c r="O227" s="29"/>
      <c r="P227" s="29"/>
      <c r="Q227" s="29"/>
      <c r="R227" s="29"/>
      <c r="S227" s="29"/>
    </row>
    <row r="228" spans="13:19" ht="16.5" customHeight="1" x14ac:dyDescent="0.2">
      <c r="M228" s="29"/>
      <c r="N228" s="29"/>
      <c r="O228" s="29"/>
      <c r="P228" s="29"/>
      <c r="Q228" s="29"/>
      <c r="R228" s="29"/>
      <c r="S228" s="29"/>
    </row>
    <row r="229" spans="13:19" ht="16.5" customHeight="1" x14ac:dyDescent="0.2">
      <c r="M229" s="29"/>
      <c r="N229" s="29"/>
      <c r="O229" s="29"/>
      <c r="P229" s="29"/>
      <c r="Q229" s="29"/>
      <c r="R229" s="29"/>
      <c r="S229" s="29"/>
    </row>
    <row r="230" spans="13:19" ht="16.5" customHeight="1" x14ac:dyDescent="0.2">
      <c r="M230" s="29"/>
      <c r="N230" s="29"/>
      <c r="O230" s="29"/>
      <c r="P230" s="29"/>
      <c r="Q230" s="29"/>
      <c r="R230" s="29"/>
      <c r="S230" s="29"/>
    </row>
    <row r="231" spans="13:19" ht="16.5" customHeight="1" x14ac:dyDescent="0.2">
      <c r="M231" s="29"/>
      <c r="N231" s="29"/>
      <c r="O231" s="29"/>
      <c r="P231" s="29"/>
      <c r="Q231" s="29"/>
      <c r="R231" s="29"/>
      <c r="S231" s="29"/>
    </row>
    <row r="232" spans="13:19" ht="16.5" customHeight="1" x14ac:dyDescent="0.2">
      <c r="M232" s="29"/>
      <c r="N232" s="29"/>
      <c r="O232" s="29"/>
      <c r="P232" s="29"/>
      <c r="Q232" s="29"/>
      <c r="R232" s="29"/>
      <c r="S232" s="29"/>
    </row>
    <row r="233" spans="13:19" ht="16.5" customHeight="1" x14ac:dyDescent="0.2">
      <c r="M233" s="29"/>
      <c r="N233" s="29"/>
      <c r="O233" s="29"/>
      <c r="P233" s="29"/>
      <c r="Q233" s="29"/>
      <c r="R233" s="29"/>
      <c r="S233" s="29"/>
    </row>
    <row r="234" spans="13:19" ht="16.5" customHeight="1" x14ac:dyDescent="0.2">
      <c r="M234" s="29"/>
      <c r="N234" s="29"/>
      <c r="O234" s="29"/>
      <c r="P234" s="29"/>
      <c r="Q234" s="29"/>
      <c r="R234" s="29"/>
      <c r="S234" s="29"/>
    </row>
    <row r="235" spans="13:19" ht="16.5" customHeight="1" x14ac:dyDescent="0.2">
      <c r="M235" s="29"/>
      <c r="N235" s="29"/>
      <c r="O235" s="29"/>
      <c r="P235" s="29"/>
      <c r="Q235" s="29"/>
      <c r="R235" s="29"/>
      <c r="S235" s="29"/>
    </row>
    <row r="236" spans="13:19" ht="16.5" customHeight="1" x14ac:dyDescent="0.2">
      <c r="M236" s="29"/>
      <c r="N236" s="29"/>
      <c r="O236" s="29"/>
      <c r="P236" s="29"/>
      <c r="Q236" s="29"/>
      <c r="R236" s="29"/>
      <c r="S236" s="29"/>
    </row>
    <row r="237" spans="13:19" ht="16.5" customHeight="1" x14ac:dyDescent="0.2">
      <c r="M237" s="29"/>
      <c r="N237" s="29"/>
      <c r="O237" s="29"/>
      <c r="P237" s="29"/>
      <c r="Q237" s="29"/>
      <c r="R237" s="29"/>
      <c r="S237" s="29"/>
    </row>
    <row r="238" spans="13:19" ht="16.5" customHeight="1" x14ac:dyDescent="0.2">
      <c r="M238" s="29"/>
      <c r="N238" s="29"/>
      <c r="O238" s="29"/>
      <c r="P238" s="29"/>
      <c r="Q238" s="29"/>
      <c r="R238" s="29"/>
      <c r="S238" s="29"/>
    </row>
    <row r="239" spans="13:19" ht="16.5" customHeight="1" x14ac:dyDescent="0.2">
      <c r="M239" s="29"/>
      <c r="N239" s="29"/>
      <c r="O239" s="29"/>
      <c r="P239" s="29"/>
      <c r="Q239" s="29"/>
      <c r="R239" s="29"/>
      <c r="S239" s="29"/>
    </row>
    <row r="240" spans="13:19" ht="16.5" customHeight="1" x14ac:dyDescent="0.2">
      <c r="M240" s="29"/>
      <c r="N240" s="29"/>
      <c r="O240" s="29"/>
      <c r="P240" s="29"/>
      <c r="Q240" s="29"/>
      <c r="R240" s="29"/>
      <c r="S240" s="29"/>
    </row>
    <row r="241" spans="13:19" ht="16.5" customHeight="1" x14ac:dyDescent="0.2">
      <c r="M241" s="29"/>
      <c r="N241" s="29"/>
      <c r="O241" s="29"/>
      <c r="P241" s="29"/>
      <c r="Q241" s="29"/>
      <c r="R241" s="29"/>
      <c r="S241" s="29"/>
    </row>
    <row r="242" spans="13:19" ht="16.5" customHeight="1" x14ac:dyDescent="0.2">
      <c r="M242" s="29"/>
      <c r="N242" s="29"/>
      <c r="O242" s="29"/>
      <c r="P242" s="29"/>
      <c r="Q242" s="29"/>
      <c r="R242" s="29"/>
      <c r="S242" s="29"/>
    </row>
    <row r="243" spans="13:19" ht="16.5" customHeight="1" x14ac:dyDescent="0.2">
      <c r="M243" s="29"/>
      <c r="N243" s="29"/>
      <c r="O243" s="29"/>
      <c r="P243" s="29"/>
      <c r="Q243" s="29"/>
      <c r="R243" s="29"/>
      <c r="S243" s="29"/>
    </row>
    <row r="244" spans="13:19" ht="16.5" customHeight="1" x14ac:dyDescent="0.2">
      <c r="M244" s="29"/>
      <c r="N244" s="29"/>
      <c r="O244" s="29"/>
      <c r="P244" s="29"/>
      <c r="Q244" s="29"/>
      <c r="R244" s="29"/>
      <c r="S244" s="29"/>
    </row>
    <row r="245" spans="13:19" ht="16.5" customHeight="1" x14ac:dyDescent="0.2">
      <c r="M245" s="29"/>
      <c r="N245" s="29"/>
      <c r="O245" s="29"/>
      <c r="P245" s="29"/>
      <c r="Q245" s="29"/>
      <c r="R245" s="29"/>
      <c r="S245" s="29"/>
    </row>
    <row r="246" spans="13:19" ht="16.5" customHeight="1" x14ac:dyDescent="0.2">
      <c r="M246" s="29"/>
      <c r="N246" s="29"/>
      <c r="O246" s="29"/>
      <c r="P246" s="29"/>
      <c r="Q246" s="29"/>
      <c r="R246" s="29"/>
      <c r="S246" s="29"/>
    </row>
    <row r="247" spans="13:19" ht="16.5" customHeight="1" x14ac:dyDescent="0.2">
      <c r="M247" s="29"/>
      <c r="N247" s="29"/>
      <c r="O247" s="29"/>
      <c r="P247" s="29"/>
      <c r="Q247" s="29"/>
      <c r="R247" s="29"/>
      <c r="S247" s="29"/>
    </row>
    <row r="248" spans="13:19" ht="16.5" customHeight="1" x14ac:dyDescent="0.2">
      <c r="M248" s="29"/>
      <c r="N248" s="29"/>
      <c r="O248" s="29"/>
      <c r="P248" s="29"/>
      <c r="Q248" s="29"/>
      <c r="R248" s="29"/>
      <c r="S248" s="29"/>
    </row>
    <row r="249" spans="13:19" ht="16.5" customHeight="1" x14ac:dyDescent="0.2">
      <c r="M249" s="29"/>
      <c r="N249" s="29"/>
      <c r="O249" s="29"/>
      <c r="P249" s="29"/>
      <c r="Q249" s="29"/>
      <c r="R249" s="29"/>
      <c r="S249" s="29"/>
    </row>
    <row r="250" spans="13:19" ht="16.5" customHeight="1" x14ac:dyDescent="0.2">
      <c r="M250" s="29"/>
      <c r="N250" s="29"/>
      <c r="O250" s="29"/>
      <c r="P250" s="29"/>
      <c r="Q250" s="29"/>
      <c r="R250" s="29"/>
      <c r="S250" s="29"/>
    </row>
    <row r="251" spans="13:19" ht="16.5" customHeight="1" x14ac:dyDescent="0.2">
      <c r="M251" s="29"/>
      <c r="N251" s="29"/>
      <c r="O251" s="29"/>
      <c r="P251" s="29"/>
      <c r="Q251" s="29"/>
      <c r="R251" s="29"/>
      <c r="S251" s="29"/>
    </row>
    <row r="252" spans="13:19" ht="16.5" customHeight="1" x14ac:dyDescent="0.2">
      <c r="M252" s="29"/>
      <c r="N252" s="29"/>
      <c r="O252" s="29"/>
      <c r="P252" s="29"/>
      <c r="Q252" s="29"/>
      <c r="R252" s="29"/>
      <c r="S252" s="29"/>
    </row>
    <row r="253" spans="13:19" ht="16.5" customHeight="1" x14ac:dyDescent="0.2">
      <c r="M253" s="29"/>
      <c r="N253" s="29"/>
      <c r="O253" s="29"/>
      <c r="P253" s="29"/>
      <c r="Q253" s="29"/>
      <c r="R253" s="29"/>
      <c r="S253" s="29"/>
    </row>
    <row r="254" spans="13:19" ht="16.5" customHeight="1" x14ac:dyDescent="0.2">
      <c r="M254" s="29"/>
      <c r="N254" s="29"/>
      <c r="O254" s="29"/>
      <c r="P254" s="29"/>
      <c r="Q254" s="29"/>
      <c r="R254" s="29"/>
      <c r="S254" s="29"/>
    </row>
    <row r="255" spans="13:19" ht="16.5" customHeight="1" x14ac:dyDescent="0.2">
      <c r="M255" s="29"/>
      <c r="N255" s="29"/>
      <c r="O255" s="29"/>
      <c r="P255" s="29"/>
      <c r="Q255" s="29"/>
      <c r="R255" s="29"/>
      <c r="S255" s="29"/>
    </row>
    <row r="256" spans="13:19" ht="16.5" customHeight="1" x14ac:dyDescent="0.2">
      <c r="M256" s="29"/>
      <c r="N256" s="29"/>
      <c r="O256" s="29"/>
      <c r="P256" s="29"/>
      <c r="Q256" s="29"/>
      <c r="R256" s="29"/>
      <c r="S256" s="29"/>
    </row>
    <row r="257" spans="13:19" ht="16.5" customHeight="1" x14ac:dyDescent="0.2">
      <c r="M257" s="29"/>
      <c r="N257" s="29"/>
      <c r="O257" s="29"/>
      <c r="P257" s="29"/>
      <c r="Q257" s="29"/>
      <c r="R257" s="29"/>
      <c r="S257" s="29"/>
    </row>
    <row r="258" spans="13:19" ht="16.5" customHeight="1" x14ac:dyDescent="0.2">
      <c r="M258" s="29"/>
      <c r="N258" s="29"/>
      <c r="O258" s="29"/>
      <c r="P258" s="29"/>
      <c r="Q258" s="29"/>
      <c r="R258" s="29"/>
      <c r="S258" s="29"/>
    </row>
    <row r="259" spans="13:19" ht="16.5" customHeight="1" x14ac:dyDescent="0.2">
      <c r="M259" s="29"/>
      <c r="N259" s="29"/>
      <c r="O259" s="29"/>
      <c r="P259" s="29"/>
      <c r="Q259" s="29"/>
      <c r="R259" s="29"/>
      <c r="S259" s="29"/>
    </row>
    <row r="260" spans="13:19" ht="16.5" customHeight="1" x14ac:dyDescent="0.2">
      <c r="M260" s="29"/>
      <c r="N260" s="29"/>
      <c r="O260" s="29"/>
      <c r="P260" s="29"/>
      <c r="Q260" s="29"/>
      <c r="R260" s="29"/>
      <c r="S260" s="29"/>
    </row>
    <row r="261" spans="13:19" ht="16.5" customHeight="1" x14ac:dyDescent="0.2">
      <c r="M261" s="29"/>
      <c r="N261" s="29"/>
      <c r="O261" s="29"/>
      <c r="P261" s="29"/>
      <c r="Q261" s="29"/>
      <c r="R261" s="29"/>
      <c r="S261" s="29"/>
    </row>
    <row r="262" spans="13:19" ht="16.5" customHeight="1" x14ac:dyDescent="0.2">
      <c r="M262" s="29"/>
      <c r="N262" s="29"/>
      <c r="O262" s="29"/>
      <c r="P262" s="29"/>
      <c r="Q262" s="29"/>
      <c r="R262" s="29"/>
      <c r="S262" s="29"/>
    </row>
    <row r="263" spans="13:19" ht="16.5" customHeight="1" x14ac:dyDescent="0.2">
      <c r="M263" s="29"/>
      <c r="N263" s="29"/>
      <c r="O263" s="29"/>
      <c r="P263" s="29"/>
      <c r="Q263" s="29"/>
      <c r="R263" s="29"/>
      <c r="S263" s="29"/>
    </row>
    <row r="264" spans="13:19" ht="16.5" customHeight="1" x14ac:dyDescent="0.2">
      <c r="M264" s="29"/>
      <c r="N264" s="29"/>
      <c r="O264" s="29"/>
      <c r="P264" s="29"/>
      <c r="Q264" s="29"/>
      <c r="R264" s="29"/>
      <c r="S264" s="29"/>
    </row>
    <row r="265" spans="13:19" ht="16.5" customHeight="1" x14ac:dyDescent="0.2">
      <c r="M265" s="29"/>
      <c r="N265" s="29"/>
      <c r="O265" s="29"/>
      <c r="P265" s="29"/>
      <c r="Q265" s="29"/>
      <c r="R265" s="29"/>
      <c r="S265" s="29"/>
    </row>
    <row r="266" spans="13:19" ht="16.5" customHeight="1" x14ac:dyDescent="0.2">
      <c r="M266" s="29"/>
      <c r="N266" s="29"/>
      <c r="O266" s="29"/>
      <c r="P266" s="29"/>
      <c r="Q266" s="29"/>
      <c r="R266" s="29"/>
      <c r="S266" s="29"/>
    </row>
    <row r="267" spans="13:19" ht="16.5" customHeight="1" x14ac:dyDescent="0.2">
      <c r="M267" s="29"/>
      <c r="N267" s="29"/>
      <c r="O267" s="29"/>
      <c r="P267" s="29"/>
      <c r="Q267" s="29"/>
      <c r="R267" s="29"/>
      <c r="S267" s="29"/>
    </row>
    <row r="268" spans="13:19" ht="16.5" customHeight="1" x14ac:dyDescent="0.2">
      <c r="M268" s="29"/>
      <c r="N268" s="29"/>
      <c r="O268" s="29"/>
      <c r="P268" s="29"/>
      <c r="Q268" s="29"/>
      <c r="R268" s="29"/>
      <c r="S268" s="29"/>
    </row>
    <row r="269" spans="13:19" ht="16.5" customHeight="1" x14ac:dyDescent="0.2">
      <c r="M269" s="29"/>
      <c r="N269" s="29"/>
      <c r="O269" s="29"/>
      <c r="P269" s="29"/>
      <c r="Q269" s="29"/>
      <c r="R269" s="29"/>
      <c r="S269" s="29"/>
    </row>
    <row r="270" spans="13:19" ht="16.5" customHeight="1" x14ac:dyDescent="0.2">
      <c r="M270" s="29"/>
      <c r="N270" s="29"/>
      <c r="O270" s="29"/>
      <c r="P270" s="29"/>
      <c r="Q270" s="29"/>
      <c r="R270" s="29"/>
      <c r="S270" s="29"/>
    </row>
    <row r="271" spans="13:19" ht="16.5" customHeight="1" x14ac:dyDescent="0.2">
      <c r="M271" s="29"/>
      <c r="N271" s="29"/>
      <c r="O271" s="29"/>
      <c r="P271" s="29"/>
      <c r="Q271" s="29"/>
      <c r="R271" s="29"/>
      <c r="S271" s="29"/>
    </row>
    <row r="272" spans="13:19" ht="16.5" customHeight="1" x14ac:dyDescent="0.2">
      <c r="M272" s="29"/>
      <c r="N272" s="29"/>
      <c r="O272" s="29"/>
      <c r="P272" s="29"/>
      <c r="Q272" s="29"/>
      <c r="R272" s="29"/>
      <c r="S272" s="29"/>
    </row>
    <row r="273" spans="13:19" ht="16.5" customHeight="1" x14ac:dyDescent="0.2">
      <c r="M273" s="29"/>
      <c r="N273" s="29"/>
      <c r="O273" s="29"/>
      <c r="P273" s="29"/>
      <c r="Q273" s="29"/>
      <c r="R273" s="29"/>
      <c r="S273" s="29"/>
    </row>
    <row r="274" spans="13:19" ht="16.5" customHeight="1" x14ac:dyDescent="0.2">
      <c r="M274" s="29"/>
      <c r="N274" s="29"/>
      <c r="O274" s="29"/>
      <c r="P274" s="29"/>
      <c r="Q274" s="29"/>
      <c r="R274" s="29"/>
      <c r="S274" s="29"/>
    </row>
    <row r="275" spans="13:19" ht="16.5" customHeight="1" x14ac:dyDescent="0.2">
      <c r="M275" s="29"/>
      <c r="N275" s="29"/>
      <c r="O275" s="29"/>
      <c r="P275" s="29"/>
      <c r="Q275" s="29"/>
      <c r="R275" s="29"/>
      <c r="S275" s="29"/>
    </row>
    <row r="276" spans="13:19" ht="16.5" customHeight="1" x14ac:dyDescent="0.2">
      <c r="M276" s="29"/>
      <c r="N276" s="29"/>
      <c r="O276" s="29"/>
      <c r="P276" s="29"/>
      <c r="Q276" s="29"/>
      <c r="R276" s="29"/>
      <c r="S276" s="29"/>
    </row>
    <row r="277" spans="13:19" ht="16.5" customHeight="1" x14ac:dyDescent="0.2">
      <c r="M277" s="29"/>
      <c r="N277" s="29"/>
      <c r="O277" s="29"/>
      <c r="P277" s="29"/>
      <c r="Q277" s="29"/>
      <c r="R277" s="29"/>
      <c r="S277" s="29"/>
    </row>
    <row r="278" spans="13:19" ht="16.5" customHeight="1" x14ac:dyDescent="0.2">
      <c r="M278" s="29"/>
      <c r="N278" s="29"/>
      <c r="O278" s="29"/>
      <c r="P278" s="29"/>
      <c r="Q278" s="29"/>
      <c r="R278" s="29"/>
      <c r="S278" s="29"/>
    </row>
    <row r="279" spans="13:19" ht="16.5" customHeight="1" x14ac:dyDescent="0.2">
      <c r="M279" s="29"/>
      <c r="N279" s="29"/>
      <c r="O279" s="29"/>
      <c r="P279" s="29"/>
      <c r="Q279" s="29"/>
      <c r="R279" s="29"/>
      <c r="S279" s="29"/>
    </row>
    <row r="280" spans="13:19" ht="16.5" customHeight="1" x14ac:dyDescent="0.2">
      <c r="M280" s="29"/>
      <c r="N280" s="29"/>
      <c r="O280" s="29"/>
      <c r="P280" s="29"/>
      <c r="Q280" s="29"/>
      <c r="R280" s="29"/>
      <c r="S280" s="29"/>
    </row>
    <row r="281" spans="13:19" ht="16.5" customHeight="1" x14ac:dyDescent="0.2">
      <c r="M281" s="29"/>
      <c r="N281" s="29"/>
      <c r="O281" s="29"/>
      <c r="P281" s="29"/>
      <c r="Q281" s="29"/>
      <c r="R281" s="29"/>
      <c r="S281" s="29"/>
    </row>
    <row r="282" spans="13:19" ht="16.5" customHeight="1" x14ac:dyDescent="0.2">
      <c r="M282" s="29"/>
      <c r="N282" s="29"/>
      <c r="O282" s="29"/>
      <c r="P282" s="29"/>
      <c r="Q282" s="29"/>
      <c r="R282" s="29"/>
      <c r="S282" s="29"/>
    </row>
    <row r="283" spans="13:19" ht="16.5" customHeight="1" x14ac:dyDescent="0.2">
      <c r="M283" s="29"/>
      <c r="N283" s="29"/>
      <c r="O283" s="29"/>
      <c r="P283" s="29"/>
      <c r="Q283" s="29"/>
      <c r="R283" s="29"/>
      <c r="S283" s="29"/>
    </row>
    <row r="284" spans="13:19" ht="16.5" customHeight="1" x14ac:dyDescent="0.2">
      <c r="M284" s="29"/>
      <c r="N284" s="29"/>
      <c r="O284" s="29"/>
      <c r="P284" s="29"/>
      <c r="Q284" s="29"/>
      <c r="R284" s="29"/>
      <c r="S284" s="29"/>
    </row>
    <row r="285" spans="13:19" ht="16.5" customHeight="1" x14ac:dyDescent="0.2">
      <c r="M285" s="29"/>
      <c r="N285" s="29"/>
      <c r="O285" s="29"/>
      <c r="P285" s="29"/>
      <c r="Q285" s="29"/>
      <c r="R285" s="29"/>
      <c r="S285" s="29"/>
    </row>
    <row r="286" spans="13:19" ht="16.5" customHeight="1" x14ac:dyDescent="0.2">
      <c r="M286" s="29"/>
      <c r="N286" s="29"/>
      <c r="O286" s="29"/>
      <c r="P286" s="29"/>
      <c r="Q286" s="29"/>
      <c r="R286" s="29"/>
      <c r="S286" s="29"/>
    </row>
    <row r="287" spans="13:19" ht="16.5" customHeight="1" x14ac:dyDescent="0.2">
      <c r="M287" s="29"/>
      <c r="N287" s="29"/>
      <c r="O287" s="29"/>
      <c r="P287" s="29"/>
      <c r="Q287" s="29"/>
      <c r="R287" s="29"/>
      <c r="S287" s="29"/>
    </row>
    <row r="288" spans="13:19" ht="16.5" customHeight="1" x14ac:dyDescent="0.2">
      <c r="M288" s="29"/>
      <c r="N288" s="29"/>
      <c r="O288" s="29"/>
      <c r="P288" s="29"/>
      <c r="Q288" s="29"/>
      <c r="R288" s="29"/>
      <c r="S288" s="29"/>
    </row>
    <row r="289" spans="13:19" ht="16.5" customHeight="1" x14ac:dyDescent="0.2">
      <c r="M289" s="29"/>
      <c r="N289" s="29"/>
      <c r="O289" s="29"/>
      <c r="P289" s="29"/>
      <c r="Q289" s="29"/>
      <c r="R289" s="29"/>
      <c r="S289" s="29"/>
    </row>
    <row r="290" spans="13:19" ht="16.5" customHeight="1" x14ac:dyDescent="0.2">
      <c r="M290" s="29"/>
      <c r="N290" s="29"/>
      <c r="O290" s="29"/>
      <c r="P290" s="29"/>
      <c r="Q290" s="29"/>
      <c r="R290" s="29"/>
      <c r="S290" s="29"/>
    </row>
    <row r="291" spans="13:19" ht="16.5" customHeight="1" x14ac:dyDescent="0.2">
      <c r="M291" s="29"/>
      <c r="N291" s="29"/>
      <c r="O291" s="29"/>
      <c r="P291" s="29"/>
      <c r="Q291" s="29"/>
      <c r="R291" s="29"/>
      <c r="S291" s="29"/>
    </row>
    <row r="292" spans="13:19" ht="16.5" customHeight="1" x14ac:dyDescent="0.2">
      <c r="M292" s="29"/>
      <c r="N292" s="29"/>
      <c r="O292" s="29"/>
      <c r="P292" s="29"/>
      <c r="Q292" s="29"/>
      <c r="R292" s="29"/>
      <c r="S292" s="29"/>
    </row>
    <row r="293" spans="13:19" ht="16.5" customHeight="1" x14ac:dyDescent="0.2">
      <c r="M293" s="29"/>
      <c r="N293" s="29"/>
      <c r="O293" s="29"/>
      <c r="P293" s="29"/>
      <c r="Q293" s="29"/>
      <c r="R293" s="29"/>
      <c r="S293" s="29"/>
    </row>
    <row r="294" spans="13:19" ht="16.5" customHeight="1" x14ac:dyDescent="0.2">
      <c r="M294" s="29"/>
      <c r="N294" s="29"/>
      <c r="O294" s="29"/>
      <c r="P294" s="29"/>
      <c r="Q294" s="29"/>
      <c r="R294" s="29"/>
      <c r="S294" s="29"/>
    </row>
    <row r="295" spans="13:19" ht="16.5" customHeight="1" x14ac:dyDescent="0.2">
      <c r="M295" s="29"/>
      <c r="N295" s="29"/>
      <c r="O295" s="29"/>
      <c r="P295" s="29"/>
      <c r="Q295" s="29"/>
      <c r="R295" s="29"/>
      <c r="S295" s="29"/>
    </row>
    <row r="296" spans="13:19" ht="16.5" customHeight="1" x14ac:dyDescent="0.2">
      <c r="M296" s="29"/>
      <c r="N296" s="29"/>
      <c r="O296" s="29"/>
      <c r="P296" s="29"/>
      <c r="Q296" s="29"/>
      <c r="R296" s="29"/>
      <c r="S296" s="29"/>
    </row>
    <row r="297" spans="13:19" ht="16.5" customHeight="1" x14ac:dyDescent="0.2">
      <c r="M297" s="29"/>
      <c r="N297" s="29"/>
      <c r="O297" s="29"/>
      <c r="P297" s="29"/>
      <c r="Q297" s="29"/>
      <c r="R297" s="29"/>
      <c r="S297" s="29"/>
    </row>
    <row r="298" spans="13:19" ht="16.5" customHeight="1" x14ac:dyDescent="0.2">
      <c r="M298" s="29"/>
      <c r="N298" s="29"/>
      <c r="O298" s="29"/>
      <c r="P298" s="29"/>
      <c r="Q298" s="29"/>
      <c r="R298" s="29"/>
      <c r="S298" s="29"/>
    </row>
    <row r="299" spans="13:19" ht="16.5" customHeight="1" x14ac:dyDescent="0.2">
      <c r="M299" s="29"/>
      <c r="N299" s="29"/>
      <c r="O299" s="29"/>
      <c r="P299" s="29"/>
      <c r="Q299" s="29"/>
      <c r="R299" s="29"/>
      <c r="S299" s="29"/>
    </row>
    <row r="300" spans="13:19" ht="16.5" customHeight="1" x14ac:dyDescent="0.2">
      <c r="M300" s="29"/>
      <c r="N300" s="29"/>
      <c r="O300" s="29"/>
      <c r="P300" s="29"/>
      <c r="Q300" s="29"/>
      <c r="R300" s="29"/>
      <c r="S300" s="29"/>
    </row>
    <row r="301" spans="13:19" ht="16.5" customHeight="1" x14ac:dyDescent="0.2">
      <c r="M301" s="29"/>
      <c r="N301" s="29"/>
      <c r="O301" s="29"/>
      <c r="P301" s="29"/>
      <c r="Q301" s="29"/>
      <c r="R301" s="29"/>
      <c r="S301" s="29"/>
    </row>
    <row r="302" spans="13:19" ht="16.5" customHeight="1" x14ac:dyDescent="0.2">
      <c r="M302" s="29"/>
      <c r="N302" s="29"/>
      <c r="O302" s="29"/>
      <c r="P302" s="29"/>
      <c r="Q302" s="29"/>
      <c r="R302" s="29"/>
      <c r="S302" s="29"/>
    </row>
    <row r="303" spans="13:19" ht="16.5" customHeight="1" x14ac:dyDescent="0.2">
      <c r="M303" s="29"/>
      <c r="N303" s="29"/>
      <c r="O303" s="29"/>
      <c r="P303" s="29"/>
      <c r="Q303" s="29"/>
      <c r="R303" s="29"/>
      <c r="S303" s="29"/>
    </row>
    <row r="304" spans="13:19" ht="16.5" customHeight="1" x14ac:dyDescent="0.2">
      <c r="M304" s="29"/>
      <c r="N304" s="29"/>
      <c r="O304" s="29"/>
      <c r="P304" s="29"/>
      <c r="Q304" s="29"/>
      <c r="R304" s="29"/>
      <c r="S304" s="29"/>
    </row>
    <row r="305" spans="13:19" ht="16.5" customHeight="1" x14ac:dyDescent="0.2">
      <c r="M305" s="29"/>
      <c r="N305" s="29"/>
      <c r="O305" s="29"/>
      <c r="P305" s="29"/>
      <c r="Q305" s="29"/>
      <c r="R305" s="29"/>
      <c r="S305" s="29"/>
    </row>
    <row r="306" spans="13:19" ht="16.5" customHeight="1" x14ac:dyDescent="0.2">
      <c r="M306" s="29"/>
      <c r="N306" s="29"/>
      <c r="O306" s="29"/>
      <c r="P306" s="29"/>
      <c r="Q306" s="29"/>
      <c r="R306" s="29"/>
      <c r="S306" s="29"/>
    </row>
    <row r="307" spans="13:19" ht="16.5" customHeight="1" x14ac:dyDescent="0.2">
      <c r="M307" s="29"/>
      <c r="N307" s="29"/>
      <c r="O307" s="29"/>
      <c r="P307" s="29"/>
      <c r="Q307" s="29"/>
      <c r="R307" s="29"/>
      <c r="S307" s="29"/>
    </row>
    <row r="308" spans="13:19" ht="16.5" customHeight="1" x14ac:dyDescent="0.2">
      <c r="M308" s="29"/>
      <c r="N308" s="29"/>
      <c r="O308" s="29"/>
      <c r="P308" s="29"/>
      <c r="Q308" s="29"/>
      <c r="R308" s="29"/>
      <c r="S308" s="29"/>
    </row>
    <row r="309" spans="13:19" ht="16.5" customHeight="1" x14ac:dyDescent="0.2">
      <c r="M309" s="29"/>
      <c r="N309" s="29"/>
      <c r="O309" s="29"/>
      <c r="P309" s="29"/>
      <c r="Q309" s="29"/>
      <c r="R309" s="29"/>
      <c r="S309" s="29"/>
    </row>
    <row r="310" spans="13:19" ht="16.5" customHeight="1" x14ac:dyDescent="0.2">
      <c r="M310" s="29"/>
      <c r="N310" s="29"/>
      <c r="O310" s="29"/>
      <c r="P310" s="29"/>
      <c r="Q310" s="29"/>
      <c r="R310" s="29"/>
      <c r="S310" s="29"/>
    </row>
    <row r="311" spans="13:19" ht="16.5" customHeight="1" x14ac:dyDescent="0.2">
      <c r="M311" s="29"/>
      <c r="N311" s="29"/>
      <c r="O311" s="29"/>
      <c r="P311" s="29"/>
      <c r="Q311" s="29"/>
      <c r="R311" s="29"/>
      <c r="S311" s="29"/>
    </row>
    <row r="312" spans="13:19" ht="16.5" customHeight="1" x14ac:dyDescent="0.2">
      <c r="M312" s="29"/>
      <c r="N312" s="29"/>
      <c r="O312" s="29"/>
      <c r="P312" s="29"/>
      <c r="Q312" s="29"/>
      <c r="R312" s="29"/>
      <c r="S312" s="29"/>
    </row>
    <row r="313" spans="13:19" ht="16.5" customHeight="1" x14ac:dyDescent="0.2">
      <c r="M313" s="29"/>
      <c r="N313" s="29"/>
      <c r="O313" s="29"/>
      <c r="P313" s="29"/>
      <c r="Q313" s="29"/>
      <c r="R313" s="29"/>
      <c r="S313" s="29"/>
    </row>
    <row r="314" spans="13:19" ht="16.5" customHeight="1" x14ac:dyDescent="0.2">
      <c r="M314" s="29"/>
      <c r="N314" s="29"/>
      <c r="O314" s="29"/>
      <c r="P314" s="29"/>
      <c r="Q314" s="29"/>
      <c r="R314" s="29"/>
      <c r="S314" s="29"/>
    </row>
    <row r="315" spans="13:19" ht="16.5" customHeight="1" x14ac:dyDescent="0.2">
      <c r="M315" s="29"/>
      <c r="N315" s="29"/>
      <c r="O315" s="29"/>
      <c r="P315" s="29"/>
      <c r="Q315" s="29"/>
      <c r="R315" s="29"/>
      <c r="S315" s="29"/>
    </row>
    <row r="316" spans="13:19" ht="16.5" customHeight="1" x14ac:dyDescent="0.2">
      <c r="M316" s="29"/>
      <c r="N316" s="29"/>
      <c r="O316" s="29"/>
      <c r="P316" s="29"/>
      <c r="Q316" s="29"/>
      <c r="R316" s="29"/>
      <c r="S316" s="29"/>
    </row>
    <row r="317" spans="13:19" ht="16.5" customHeight="1" x14ac:dyDescent="0.2">
      <c r="M317" s="29"/>
      <c r="N317" s="29"/>
      <c r="O317" s="29"/>
      <c r="P317" s="29"/>
      <c r="Q317" s="29"/>
      <c r="R317" s="29"/>
      <c r="S317" s="29"/>
    </row>
    <row r="318" spans="13:19" ht="16.5" customHeight="1" x14ac:dyDescent="0.2">
      <c r="M318" s="29"/>
      <c r="N318" s="29"/>
      <c r="O318" s="29"/>
      <c r="P318" s="29"/>
      <c r="Q318" s="29"/>
      <c r="R318" s="29"/>
      <c r="S318" s="29"/>
    </row>
    <row r="319" spans="13:19" ht="16.5" customHeight="1" x14ac:dyDescent="0.2">
      <c r="M319" s="29"/>
      <c r="N319" s="29"/>
      <c r="O319" s="29"/>
      <c r="P319" s="29"/>
      <c r="Q319" s="29"/>
      <c r="R319" s="29"/>
      <c r="S319" s="29"/>
    </row>
    <row r="320" spans="13:19" ht="16.5" customHeight="1" x14ac:dyDescent="0.2">
      <c r="M320" s="29"/>
      <c r="N320" s="29"/>
      <c r="O320" s="29"/>
      <c r="P320" s="29"/>
      <c r="Q320" s="29"/>
      <c r="R320" s="29"/>
      <c r="S320" s="29"/>
    </row>
    <row r="321" spans="13:19" ht="16.5" customHeight="1" x14ac:dyDescent="0.2">
      <c r="M321" s="29"/>
      <c r="N321" s="29"/>
      <c r="O321" s="29"/>
      <c r="P321" s="29"/>
      <c r="Q321" s="29"/>
      <c r="R321" s="29"/>
      <c r="S321" s="29"/>
    </row>
    <row r="322" spans="13:19" ht="16.5" customHeight="1" x14ac:dyDescent="0.2">
      <c r="M322" s="29"/>
      <c r="N322" s="29"/>
      <c r="O322" s="29"/>
      <c r="P322" s="29"/>
      <c r="Q322" s="29"/>
      <c r="R322" s="29"/>
      <c r="S322" s="29"/>
    </row>
    <row r="323" spans="13:19" ht="16.5" customHeight="1" x14ac:dyDescent="0.2">
      <c r="M323" s="29"/>
      <c r="N323" s="29"/>
      <c r="O323" s="29"/>
      <c r="P323" s="29"/>
      <c r="Q323" s="29"/>
      <c r="R323" s="29"/>
      <c r="S323" s="29"/>
    </row>
    <row r="324" spans="13:19" ht="16.5" customHeight="1" x14ac:dyDescent="0.2">
      <c r="M324" s="29"/>
      <c r="N324" s="29"/>
      <c r="O324" s="29"/>
      <c r="P324" s="29"/>
      <c r="Q324" s="29"/>
      <c r="R324" s="29"/>
      <c r="S324" s="29"/>
    </row>
    <row r="325" spans="13:19" ht="16.5" customHeight="1" x14ac:dyDescent="0.2">
      <c r="M325" s="29"/>
      <c r="N325" s="29"/>
      <c r="O325" s="29"/>
      <c r="P325" s="29"/>
      <c r="Q325" s="29"/>
      <c r="R325" s="29"/>
      <c r="S325" s="29"/>
    </row>
    <row r="326" spans="13:19" ht="16.5" customHeight="1" x14ac:dyDescent="0.2">
      <c r="M326" s="29"/>
      <c r="N326" s="29"/>
      <c r="O326" s="29"/>
      <c r="P326" s="29"/>
      <c r="Q326" s="29"/>
      <c r="R326" s="29"/>
      <c r="S326" s="29"/>
    </row>
    <row r="327" spans="13:19" ht="16.5" customHeight="1" x14ac:dyDescent="0.2">
      <c r="M327" s="29"/>
      <c r="N327" s="29"/>
      <c r="O327" s="29"/>
      <c r="P327" s="29"/>
      <c r="Q327" s="29"/>
      <c r="R327" s="29"/>
      <c r="S327" s="29"/>
    </row>
    <row r="328" spans="13:19" ht="16.5" customHeight="1" x14ac:dyDescent="0.2">
      <c r="M328" s="29"/>
      <c r="N328" s="29"/>
      <c r="O328" s="29"/>
      <c r="P328" s="29"/>
      <c r="Q328" s="29"/>
      <c r="R328" s="29"/>
      <c r="S328" s="29"/>
    </row>
    <row r="329" spans="13:19" ht="16.5" customHeight="1" x14ac:dyDescent="0.2">
      <c r="M329" s="29"/>
      <c r="N329" s="29"/>
      <c r="O329" s="29"/>
      <c r="P329" s="29"/>
      <c r="Q329" s="29"/>
      <c r="R329" s="29"/>
      <c r="S329" s="29"/>
    </row>
    <row r="330" spans="13:19" ht="16.5" customHeight="1" x14ac:dyDescent="0.2">
      <c r="M330" s="29"/>
      <c r="N330" s="29"/>
      <c r="O330" s="29"/>
      <c r="P330" s="29"/>
      <c r="Q330" s="29"/>
      <c r="R330" s="29"/>
      <c r="S330" s="29"/>
    </row>
    <row r="331" spans="13:19" ht="16.5" customHeight="1" x14ac:dyDescent="0.2">
      <c r="M331" s="29"/>
      <c r="N331" s="29"/>
      <c r="O331" s="29"/>
      <c r="P331" s="29"/>
      <c r="Q331" s="29"/>
      <c r="R331" s="29"/>
      <c r="S331" s="29"/>
    </row>
    <row r="332" spans="13:19" ht="16.5" customHeight="1" x14ac:dyDescent="0.2">
      <c r="M332" s="29"/>
      <c r="N332" s="29"/>
      <c r="O332" s="29"/>
      <c r="P332" s="29"/>
      <c r="Q332" s="29"/>
      <c r="R332" s="29"/>
      <c r="S332" s="29"/>
    </row>
    <row r="333" spans="13:19" ht="16.5" customHeight="1" x14ac:dyDescent="0.2">
      <c r="M333" s="29"/>
      <c r="N333" s="29"/>
      <c r="O333" s="29"/>
      <c r="P333" s="29"/>
      <c r="Q333" s="29"/>
      <c r="R333" s="29"/>
      <c r="S333" s="29"/>
    </row>
    <row r="334" spans="13:19" ht="16.5" customHeight="1" x14ac:dyDescent="0.2">
      <c r="M334" s="29"/>
      <c r="N334" s="29"/>
      <c r="O334" s="29"/>
      <c r="P334" s="29"/>
      <c r="Q334" s="29"/>
      <c r="R334" s="29"/>
      <c r="S334" s="29"/>
    </row>
    <row r="335" spans="13:19" ht="16.5" customHeight="1" x14ac:dyDescent="0.2">
      <c r="M335" s="29"/>
      <c r="N335" s="29"/>
      <c r="O335" s="29"/>
      <c r="P335" s="29"/>
      <c r="Q335" s="29"/>
      <c r="R335" s="29"/>
      <c r="S335" s="29"/>
    </row>
    <row r="336" spans="13:19" ht="16.5" customHeight="1" x14ac:dyDescent="0.2">
      <c r="M336" s="29"/>
      <c r="N336" s="29"/>
      <c r="O336" s="29"/>
      <c r="P336" s="29"/>
      <c r="Q336" s="29"/>
      <c r="R336" s="29"/>
      <c r="S336" s="29"/>
    </row>
    <row r="337" spans="13:19" ht="16.5" customHeight="1" x14ac:dyDescent="0.2">
      <c r="M337" s="29"/>
      <c r="N337" s="29"/>
      <c r="O337" s="29"/>
      <c r="P337" s="29"/>
      <c r="Q337" s="29"/>
      <c r="R337" s="29"/>
      <c r="S337" s="29"/>
    </row>
    <row r="338" spans="13:19" ht="16.5" customHeight="1" x14ac:dyDescent="0.2">
      <c r="M338" s="29"/>
      <c r="N338" s="29"/>
      <c r="O338" s="29"/>
      <c r="P338" s="29"/>
      <c r="Q338" s="29"/>
      <c r="R338" s="29"/>
      <c r="S338" s="29"/>
    </row>
    <row r="339" spans="13:19" ht="16.5" customHeight="1" x14ac:dyDescent="0.2">
      <c r="M339" s="29"/>
      <c r="N339" s="29"/>
      <c r="O339" s="29"/>
      <c r="P339" s="29"/>
      <c r="Q339" s="29"/>
      <c r="R339" s="29"/>
      <c r="S339" s="29"/>
    </row>
    <row r="340" spans="13:19" ht="16.5" customHeight="1" x14ac:dyDescent="0.2">
      <c r="M340" s="29"/>
      <c r="N340" s="29"/>
      <c r="O340" s="29"/>
      <c r="P340" s="29"/>
      <c r="Q340" s="29"/>
      <c r="R340" s="29"/>
      <c r="S340" s="29"/>
    </row>
    <row r="341" spans="13:19" ht="16.5" customHeight="1" x14ac:dyDescent="0.2">
      <c r="M341" s="29"/>
      <c r="N341" s="29"/>
      <c r="O341" s="29"/>
      <c r="P341" s="29"/>
      <c r="Q341" s="29"/>
      <c r="R341" s="29"/>
      <c r="S341" s="29"/>
    </row>
    <row r="342" spans="13:19" ht="16.5" customHeight="1" x14ac:dyDescent="0.2">
      <c r="M342" s="29"/>
      <c r="N342" s="29"/>
      <c r="O342" s="29"/>
      <c r="P342" s="29"/>
      <c r="Q342" s="29"/>
      <c r="R342" s="29"/>
      <c r="S342" s="29"/>
    </row>
    <row r="343" spans="13:19" ht="16.5" customHeight="1" x14ac:dyDescent="0.2">
      <c r="M343" s="29"/>
      <c r="N343" s="29"/>
      <c r="O343" s="29"/>
      <c r="P343" s="29"/>
      <c r="Q343" s="29"/>
      <c r="R343" s="29"/>
      <c r="S343" s="29"/>
    </row>
    <row r="344" spans="13:19" ht="16.5" customHeight="1" x14ac:dyDescent="0.2">
      <c r="M344" s="29"/>
      <c r="N344" s="29"/>
      <c r="O344" s="29"/>
      <c r="P344" s="29"/>
      <c r="Q344" s="29"/>
      <c r="R344" s="29"/>
      <c r="S344" s="29"/>
    </row>
    <row r="345" spans="13:19" ht="16.5" customHeight="1" x14ac:dyDescent="0.2">
      <c r="M345" s="29"/>
      <c r="N345" s="29"/>
      <c r="O345" s="29"/>
      <c r="P345" s="29"/>
      <c r="Q345" s="29"/>
      <c r="R345" s="29"/>
      <c r="S345" s="29"/>
    </row>
    <row r="346" spans="13:19" ht="16.5" customHeight="1" x14ac:dyDescent="0.2">
      <c r="M346" s="29"/>
      <c r="N346" s="29"/>
      <c r="O346" s="29"/>
      <c r="P346" s="29"/>
      <c r="Q346" s="29"/>
      <c r="R346" s="29"/>
      <c r="S346" s="29"/>
    </row>
    <row r="347" spans="13:19" ht="16.5" customHeight="1" x14ac:dyDescent="0.2">
      <c r="M347" s="29"/>
      <c r="N347" s="29"/>
      <c r="O347" s="29"/>
      <c r="P347" s="29"/>
      <c r="Q347" s="29"/>
      <c r="R347" s="29"/>
      <c r="S347" s="29"/>
    </row>
    <row r="348" spans="13:19" ht="16.5" customHeight="1" x14ac:dyDescent="0.2">
      <c r="M348" s="29"/>
      <c r="N348" s="29"/>
      <c r="O348" s="29"/>
      <c r="P348" s="29"/>
      <c r="Q348" s="29"/>
      <c r="R348" s="29"/>
      <c r="S348" s="29"/>
    </row>
    <row r="349" spans="13:19" ht="16.5" customHeight="1" x14ac:dyDescent="0.2">
      <c r="M349" s="29"/>
      <c r="N349" s="29"/>
      <c r="O349" s="29"/>
      <c r="P349" s="29"/>
      <c r="Q349" s="29"/>
      <c r="R349" s="29"/>
      <c r="S349" s="29"/>
    </row>
    <row r="350" spans="13:19" ht="16.5" customHeight="1" x14ac:dyDescent="0.2">
      <c r="M350" s="29"/>
      <c r="N350" s="29"/>
      <c r="O350" s="29"/>
      <c r="P350" s="29"/>
      <c r="Q350" s="29"/>
      <c r="R350" s="29"/>
      <c r="S350" s="29"/>
    </row>
    <row r="351" spans="13:19" ht="16.5" customHeight="1" x14ac:dyDescent="0.2">
      <c r="M351" s="29"/>
      <c r="N351" s="29"/>
      <c r="O351" s="29"/>
      <c r="P351" s="29"/>
      <c r="Q351" s="29"/>
      <c r="R351" s="29"/>
      <c r="S351" s="29"/>
    </row>
    <row r="352" spans="13:19" ht="16.5" customHeight="1" x14ac:dyDescent="0.2">
      <c r="M352" s="29"/>
      <c r="N352" s="29"/>
      <c r="O352" s="29"/>
      <c r="P352" s="29"/>
      <c r="Q352" s="29"/>
      <c r="R352" s="29"/>
      <c r="S352" s="29"/>
    </row>
    <row r="353" spans="13:19" ht="16.5" customHeight="1" x14ac:dyDescent="0.2">
      <c r="M353" s="29"/>
      <c r="N353" s="29"/>
      <c r="O353" s="29"/>
      <c r="P353" s="29"/>
      <c r="Q353" s="29"/>
      <c r="R353" s="29"/>
      <c r="S353" s="29"/>
    </row>
    <row r="354" spans="13:19" ht="16.5" customHeight="1" x14ac:dyDescent="0.2">
      <c r="M354" s="29"/>
      <c r="N354" s="29"/>
      <c r="O354" s="29"/>
      <c r="P354" s="29"/>
      <c r="Q354" s="29"/>
      <c r="R354" s="29"/>
      <c r="S354" s="29"/>
    </row>
    <row r="355" spans="13:19" ht="16.5" customHeight="1" x14ac:dyDescent="0.2">
      <c r="M355" s="29"/>
      <c r="N355" s="29"/>
      <c r="O355" s="29"/>
      <c r="P355" s="29"/>
      <c r="Q355" s="29"/>
      <c r="R355" s="29"/>
      <c r="S355" s="29"/>
    </row>
    <row r="356" spans="13:19" ht="16.5" customHeight="1" x14ac:dyDescent="0.2">
      <c r="M356" s="29"/>
      <c r="N356" s="29"/>
      <c r="O356" s="29"/>
      <c r="P356" s="29"/>
      <c r="Q356" s="29"/>
      <c r="R356" s="29"/>
      <c r="S356" s="29"/>
    </row>
    <row r="357" spans="13:19" ht="16.5" customHeight="1" x14ac:dyDescent="0.2">
      <c r="M357" s="29"/>
      <c r="N357" s="29"/>
      <c r="O357" s="29"/>
      <c r="P357" s="29"/>
      <c r="Q357" s="29"/>
      <c r="R357" s="29"/>
      <c r="S357" s="29"/>
    </row>
    <row r="358" spans="13:19" ht="16.5" customHeight="1" x14ac:dyDescent="0.2">
      <c r="M358" s="29"/>
      <c r="N358" s="29"/>
      <c r="O358" s="29"/>
      <c r="P358" s="29"/>
      <c r="Q358" s="29"/>
      <c r="R358" s="29"/>
      <c r="S358" s="29"/>
    </row>
    <row r="359" spans="13:19" ht="16.5" customHeight="1" x14ac:dyDescent="0.2">
      <c r="M359" s="29"/>
      <c r="N359" s="29"/>
      <c r="O359" s="29"/>
      <c r="P359" s="29"/>
      <c r="Q359" s="29"/>
      <c r="R359" s="29"/>
      <c r="S359" s="29"/>
    </row>
    <row r="360" spans="13:19" ht="16.5" customHeight="1" x14ac:dyDescent="0.2">
      <c r="M360" s="29"/>
      <c r="N360" s="29"/>
      <c r="O360" s="29"/>
      <c r="P360" s="29"/>
      <c r="Q360" s="29"/>
      <c r="R360" s="29"/>
      <c r="S360" s="29"/>
    </row>
    <row r="361" spans="13:19" ht="16.5" customHeight="1" x14ac:dyDescent="0.2">
      <c r="M361" s="29"/>
      <c r="N361" s="29"/>
      <c r="O361" s="29"/>
      <c r="P361" s="29"/>
      <c r="Q361" s="29"/>
      <c r="R361" s="29"/>
      <c r="S361" s="29"/>
    </row>
    <row r="362" spans="13:19" ht="16.5" customHeight="1" x14ac:dyDescent="0.2">
      <c r="M362" s="29"/>
      <c r="N362" s="29"/>
      <c r="O362" s="29"/>
      <c r="P362" s="29"/>
      <c r="Q362" s="29"/>
      <c r="R362" s="29"/>
      <c r="S362" s="29"/>
    </row>
    <row r="363" spans="13:19" ht="16.5" customHeight="1" x14ac:dyDescent="0.2">
      <c r="M363" s="29"/>
      <c r="N363" s="29"/>
      <c r="O363" s="29"/>
      <c r="P363" s="29"/>
      <c r="Q363" s="29"/>
      <c r="R363" s="29"/>
      <c r="S363" s="29"/>
    </row>
    <row r="364" spans="13:19" ht="16.5" customHeight="1" x14ac:dyDescent="0.2">
      <c r="M364" s="29"/>
      <c r="N364" s="29"/>
      <c r="O364" s="29"/>
      <c r="P364" s="29"/>
      <c r="Q364" s="29"/>
      <c r="R364" s="29"/>
      <c r="S364" s="29"/>
    </row>
    <row r="365" spans="13:19" ht="16.5" customHeight="1" x14ac:dyDescent="0.2">
      <c r="M365" s="29"/>
      <c r="N365" s="29"/>
      <c r="O365" s="29"/>
      <c r="P365" s="29"/>
      <c r="Q365" s="29"/>
      <c r="R365" s="29"/>
      <c r="S365" s="29"/>
    </row>
    <row r="366" spans="13:19" ht="16.5" customHeight="1" x14ac:dyDescent="0.2">
      <c r="M366" s="29"/>
      <c r="N366" s="29"/>
      <c r="O366" s="29"/>
      <c r="P366" s="29"/>
      <c r="Q366" s="29"/>
      <c r="R366" s="29"/>
      <c r="S366" s="29"/>
    </row>
    <row r="367" spans="13:19" ht="16.5" customHeight="1" x14ac:dyDescent="0.2">
      <c r="M367" s="29"/>
      <c r="N367" s="29"/>
      <c r="O367" s="29"/>
      <c r="P367" s="29"/>
      <c r="Q367" s="29"/>
      <c r="R367" s="29"/>
      <c r="S367" s="29"/>
    </row>
    <row r="368" spans="13:19" ht="16.5" customHeight="1" x14ac:dyDescent="0.2">
      <c r="M368" s="29"/>
      <c r="N368" s="29"/>
      <c r="O368" s="29"/>
      <c r="P368" s="29"/>
      <c r="Q368" s="29"/>
      <c r="R368" s="29"/>
      <c r="S368" s="29"/>
    </row>
    <row r="369" spans="13:19" ht="16.5" customHeight="1" x14ac:dyDescent="0.2">
      <c r="M369" s="29"/>
      <c r="N369" s="29"/>
      <c r="O369" s="29"/>
      <c r="P369" s="29"/>
      <c r="Q369" s="29"/>
      <c r="R369" s="29"/>
      <c r="S369" s="29"/>
    </row>
    <row r="370" spans="13:19" ht="16.5" customHeight="1" x14ac:dyDescent="0.2">
      <c r="M370" s="29"/>
      <c r="N370" s="29"/>
      <c r="O370" s="29"/>
      <c r="P370" s="29"/>
      <c r="Q370" s="29"/>
      <c r="R370" s="29"/>
      <c r="S370" s="29"/>
    </row>
    <row r="371" spans="13:19" ht="16.5" customHeight="1" x14ac:dyDescent="0.2">
      <c r="M371" s="29"/>
      <c r="N371" s="29"/>
      <c r="O371" s="29"/>
      <c r="P371" s="29"/>
      <c r="Q371" s="29"/>
      <c r="R371" s="29"/>
      <c r="S371" s="29"/>
    </row>
    <row r="372" spans="13:19" ht="16.5" customHeight="1" x14ac:dyDescent="0.2">
      <c r="M372" s="29"/>
      <c r="N372" s="29"/>
      <c r="O372" s="29"/>
      <c r="P372" s="29"/>
      <c r="Q372" s="29"/>
      <c r="R372" s="29"/>
      <c r="S372" s="29"/>
    </row>
    <row r="373" spans="13:19" ht="16.5" customHeight="1" x14ac:dyDescent="0.2">
      <c r="M373" s="29"/>
      <c r="N373" s="29"/>
      <c r="O373" s="29"/>
      <c r="P373" s="29"/>
      <c r="Q373" s="29"/>
      <c r="R373" s="29"/>
      <c r="S373" s="29"/>
    </row>
    <row r="374" spans="13:19" ht="16.5" customHeight="1" x14ac:dyDescent="0.2">
      <c r="M374" s="29"/>
      <c r="N374" s="29"/>
      <c r="O374" s="29"/>
      <c r="P374" s="29"/>
      <c r="Q374" s="29"/>
      <c r="R374" s="29"/>
      <c r="S374" s="29"/>
    </row>
    <row r="375" spans="13:19" ht="16.5" customHeight="1" x14ac:dyDescent="0.2">
      <c r="M375" s="29"/>
      <c r="N375" s="29"/>
      <c r="O375" s="29"/>
      <c r="P375" s="29"/>
      <c r="Q375" s="29"/>
      <c r="R375" s="29"/>
      <c r="S375" s="29"/>
    </row>
    <row r="376" spans="13:19" ht="16.5" customHeight="1" x14ac:dyDescent="0.2">
      <c r="M376" s="29"/>
      <c r="N376" s="29"/>
      <c r="O376" s="29"/>
      <c r="P376" s="29"/>
      <c r="Q376" s="29"/>
      <c r="R376" s="29"/>
      <c r="S376" s="29"/>
    </row>
    <row r="377" spans="13:19" ht="16.5" customHeight="1" x14ac:dyDescent="0.2">
      <c r="M377" s="29"/>
      <c r="N377" s="29"/>
      <c r="O377" s="29"/>
      <c r="P377" s="29"/>
      <c r="Q377" s="29"/>
      <c r="R377" s="29"/>
      <c r="S377" s="29"/>
    </row>
    <row r="378" spans="13:19" ht="16.5" customHeight="1" x14ac:dyDescent="0.2">
      <c r="M378" s="29"/>
      <c r="N378" s="29"/>
      <c r="O378" s="29"/>
      <c r="P378" s="29"/>
      <c r="Q378" s="29"/>
      <c r="R378" s="29"/>
      <c r="S378" s="29"/>
    </row>
    <row r="379" spans="13:19" ht="16.5" customHeight="1" x14ac:dyDescent="0.2">
      <c r="M379" s="29"/>
      <c r="N379" s="29"/>
      <c r="O379" s="29"/>
      <c r="P379" s="29"/>
      <c r="Q379" s="29"/>
      <c r="R379" s="29"/>
      <c r="S379" s="29"/>
    </row>
    <row r="380" spans="13:19" ht="16.5" customHeight="1" x14ac:dyDescent="0.2">
      <c r="M380" s="29"/>
      <c r="N380" s="29"/>
      <c r="O380" s="29"/>
      <c r="P380" s="29"/>
      <c r="Q380" s="29"/>
      <c r="R380" s="29"/>
      <c r="S380" s="29"/>
    </row>
    <row r="381" spans="13:19" ht="16.5" customHeight="1" x14ac:dyDescent="0.2">
      <c r="M381" s="29"/>
      <c r="N381" s="29"/>
      <c r="O381" s="29"/>
      <c r="P381" s="29"/>
      <c r="Q381" s="29"/>
      <c r="R381" s="29"/>
      <c r="S381" s="29"/>
    </row>
    <row r="382" spans="13:19" ht="16.5" customHeight="1" x14ac:dyDescent="0.2">
      <c r="M382" s="29"/>
      <c r="N382" s="29"/>
      <c r="O382" s="29"/>
      <c r="P382" s="29"/>
      <c r="Q382" s="29"/>
      <c r="R382" s="29"/>
      <c r="S382" s="29"/>
    </row>
    <row r="383" spans="13:19" ht="16.5" customHeight="1" x14ac:dyDescent="0.2">
      <c r="M383" s="29"/>
      <c r="N383" s="29"/>
      <c r="O383" s="29"/>
      <c r="P383" s="29"/>
      <c r="Q383" s="29"/>
      <c r="R383" s="29"/>
      <c r="S383" s="29"/>
    </row>
    <row r="384" spans="13:19" ht="16.5" customHeight="1" x14ac:dyDescent="0.2">
      <c r="M384" s="29"/>
      <c r="N384" s="29"/>
      <c r="O384" s="29"/>
      <c r="P384" s="29"/>
      <c r="Q384" s="29"/>
      <c r="R384" s="29"/>
      <c r="S384" s="29"/>
    </row>
    <row r="385" spans="13:19" ht="16.5" customHeight="1" x14ac:dyDescent="0.2">
      <c r="M385" s="29"/>
      <c r="N385" s="29"/>
      <c r="O385" s="29"/>
      <c r="P385" s="29"/>
      <c r="Q385" s="29"/>
      <c r="R385" s="29"/>
      <c r="S385" s="29"/>
    </row>
    <row r="386" spans="13:19" ht="16.5" customHeight="1" x14ac:dyDescent="0.2">
      <c r="M386" s="29"/>
      <c r="N386" s="29"/>
      <c r="O386" s="29"/>
      <c r="P386" s="29"/>
      <c r="Q386" s="29"/>
      <c r="R386" s="29"/>
      <c r="S386" s="29"/>
    </row>
    <row r="387" spans="13:19" ht="16.5" customHeight="1" x14ac:dyDescent="0.2">
      <c r="M387" s="29"/>
      <c r="N387" s="29"/>
      <c r="O387" s="29"/>
      <c r="P387" s="29"/>
      <c r="Q387" s="29"/>
      <c r="R387" s="29"/>
      <c r="S387" s="29"/>
    </row>
    <row r="388" spans="13:19" ht="16.5" customHeight="1" x14ac:dyDescent="0.2">
      <c r="M388" s="29"/>
      <c r="N388" s="29"/>
      <c r="O388" s="29"/>
      <c r="P388" s="29"/>
      <c r="Q388" s="29"/>
      <c r="R388" s="29"/>
      <c r="S388" s="29"/>
    </row>
    <row r="389" spans="13:19" ht="16.5" customHeight="1" x14ac:dyDescent="0.2">
      <c r="M389" s="29"/>
      <c r="N389" s="29"/>
      <c r="O389" s="29"/>
      <c r="P389" s="29"/>
      <c r="Q389" s="29"/>
      <c r="R389" s="29"/>
      <c r="S389" s="29"/>
    </row>
    <row r="390" spans="13:19" ht="16.5" customHeight="1" x14ac:dyDescent="0.2">
      <c r="M390" s="29"/>
      <c r="N390" s="29"/>
      <c r="O390" s="29"/>
      <c r="P390" s="29"/>
      <c r="Q390" s="29"/>
      <c r="R390" s="29"/>
      <c r="S390" s="29"/>
    </row>
    <row r="391" spans="13:19" ht="16.5" customHeight="1" x14ac:dyDescent="0.2">
      <c r="M391" s="29"/>
      <c r="N391" s="29"/>
      <c r="O391" s="29"/>
      <c r="P391" s="29"/>
      <c r="Q391" s="29"/>
      <c r="R391" s="29"/>
      <c r="S391" s="29"/>
    </row>
    <row r="392" spans="13:19" ht="16.5" customHeight="1" x14ac:dyDescent="0.2">
      <c r="M392" s="29"/>
      <c r="N392" s="29"/>
      <c r="O392" s="29"/>
      <c r="P392" s="29"/>
      <c r="Q392" s="29"/>
      <c r="R392" s="29"/>
      <c r="S392" s="29"/>
    </row>
    <row r="393" spans="13:19" ht="16.5" customHeight="1" x14ac:dyDescent="0.2">
      <c r="M393" s="29"/>
      <c r="N393" s="29"/>
      <c r="O393" s="29"/>
      <c r="P393" s="29"/>
      <c r="Q393" s="29"/>
      <c r="R393" s="29"/>
      <c r="S393" s="29"/>
    </row>
    <row r="394" spans="13:19" ht="16.5" customHeight="1" x14ac:dyDescent="0.2">
      <c r="M394" s="29"/>
      <c r="N394" s="29"/>
      <c r="O394" s="29"/>
      <c r="P394" s="29"/>
      <c r="Q394" s="29"/>
      <c r="R394" s="29"/>
      <c r="S394" s="29"/>
    </row>
    <row r="395" spans="13:19" ht="16.5" customHeight="1" x14ac:dyDescent="0.2">
      <c r="M395" s="29"/>
      <c r="N395" s="29"/>
      <c r="O395" s="29"/>
      <c r="P395" s="29"/>
      <c r="Q395" s="29"/>
      <c r="R395" s="29"/>
      <c r="S395" s="29"/>
    </row>
    <row r="396" spans="13:19" ht="16.5" customHeight="1" x14ac:dyDescent="0.2">
      <c r="M396" s="29"/>
      <c r="N396" s="29"/>
      <c r="O396" s="29"/>
      <c r="P396" s="29"/>
      <c r="Q396" s="29"/>
      <c r="R396" s="29"/>
      <c r="S396" s="29"/>
    </row>
    <row r="397" spans="13:19" ht="16.5" customHeight="1" x14ac:dyDescent="0.2">
      <c r="M397" s="29"/>
      <c r="N397" s="29"/>
      <c r="O397" s="29"/>
      <c r="P397" s="29"/>
      <c r="Q397" s="29"/>
      <c r="R397" s="29"/>
      <c r="S397" s="29"/>
    </row>
    <row r="398" spans="13:19" ht="16.5" customHeight="1" x14ac:dyDescent="0.2">
      <c r="M398" s="29"/>
      <c r="N398" s="29"/>
      <c r="O398" s="29"/>
      <c r="P398" s="29"/>
      <c r="Q398" s="29"/>
      <c r="R398" s="29"/>
      <c r="S398" s="29"/>
    </row>
    <row r="399" spans="13:19" ht="16.5" customHeight="1" x14ac:dyDescent="0.2">
      <c r="M399" s="29"/>
      <c r="N399" s="29"/>
      <c r="O399" s="29"/>
      <c r="P399" s="29"/>
      <c r="Q399" s="29"/>
      <c r="R399" s="29"/>
      <c r="S399" s="29"/>
    </row>
    <row r="400" spans="13:19" ht="16.5" customHeight="1" x14ac:dyDescent="0.2">
      <c r="M400" s="29"/>
      <c r="N400" s="29"/>
      <c r="O400" s="29"/>
      <c r="P400" s="29"/>
      <c r="Q400" s="29"/>
      <c r="R400" s="29"/>
      <c r="S400" s="29"/>
    </row>
    <row r="401" spans="13:19" ht="16.5" customHeight="1" x14ac:dyDescent="0.2">
      <c r="M401" s="29"/>
      <c r="N401" s="29"/>
      <c r="O401" s="29"/>
      <c r="P401" s="29"/>
      <c r="Q401" s="29"/>
      <c r="R401" s="29"/>
      <c r="S401" s="29"/>
    </row>
    <row r="402" spans="13:19" ht="16.5" customHeight="1" x14ac:dyDescent="0.2">
      <c r="M402" s="29"/>
      <c r="N402" s="29"/>
      <c r="O402" s="29"/>
      <c r="P402" s="29"/>
      <c r="Q402" s="29"/>
      <c r="R402" s="29"/>
      <c r="S402" s="29"/>
    </row>
    <row r="403" spans="13:19" ht="16.5" customHeight="1" x14ac:dyDescent="0.2">
      <c r="M403" s="29"/>
      <c r="N403" s="29"/>
      <c r="O403" s="29"/>
      <c r="P403" s="29"/>
      <c r="Q403" s="29"/>
      <c r="R403" s="29"/>
      <c r="S403" s="29"/>
    </row>
    <row r="404" spans="13:19" ht="16.5" customHeight="1" x14ac:dyDescent="0.2">
      <c r="M404" s="29"/>
      <c r="N404" s="29"/>
      <c r="O404" s="29"/>
      <c r="P404" s="29"/>
      <c r="Q404" s="29"/>
      <c r="R404" s="29"/>
      <c r="S404" s="29"/>
    </row>
    <row r="405" spans="13:19" ht="16.5" customHeight="1" x14ac:dyDescent="0.2">
      <c r="M405" s="29"/>
      <c r="N405" s="29"/>
      <c r="O405" s="29"/>
      <c r="P405" s="29"/>
      <c r="Q405" s="29"/>
      <c r="R405" s="29"/>
      <c r="S405" s="29"/>
    </row>
    <row r="406" spans="13:19" ht="16.5" customHeight="1" x14ac:dyDescent="0.2">
      <c r="M406" s="29"/>
      <c r="N406" s="29"/>
      <c r="O406" s="29"/>
      <c r="P406" s="29"/>
      <c r="Q406" s="29"/>
      <c r="R406" s="29"/>
      <c r="S406" s="29"/>
    </row>
    <row r="407" spans="13:19" ht="16.5" customHeight="1" x14ac:dyDescent="0.2">
      <c r="M407" s="29"/>
      <c r="N407" s="29"/>
      <c r="O407" s="29"/>
      <c r="P407" s="29"/>
      <c r="Q407" s="29"/>
      <c r="R407" s="29"/>
      <c r="S407" s="29"/>
    </row>
    <row r="408" spans="13:19" ht="16.5" customHeight="1" x14ac:dyDescent="0.2">
      <c r="M408" s="29"/>
      <c r="N408" s="29"/>
      <c r="O408" s="29"/>
      <c r="P408" s="29"/>
      <c r="Q408" s="29"/>
      <c r="R408" s="29"/>
      <c r="S408" s="29"/>
    </row>
    <row r="409" spans="13:19" ht="16.5" customHeight="1" x14ac:dyDescent="0.2">
      <c r="M409" s="29"/>
      <c r="N409" s="29"/>
      <c r="O409" s="29"/>
      <c r="P409" s="29"/>
      <c r="Q409" s="29"/>
      <c r="R409" s="29"/>
      <c r="S409" s="29"/>
    </row>
    <row r="410" spans="13:19" ht="16.5" customHeight="1" x14ac:dyDescent="0.2">
      <c r="M410" s="29"/>
      <c r="N410" s="29"/>
      <c r="O410" s="29"/>
      <c r="P410" s="29"/>
      <c r="Q410" s="29"/>
      <c r="R410" s="29"/>
      <c r="S410" s="29"/>
    </row>
    <row r="411" spans="13:19" ht="16.5" customHeight="1" x14ac:dyDescent="0.2">
      <c r="M411" s="29"/>
      <c r="N411" s="29"/>
      <c r="O411" s="29"/>
      <c r="P411" s="29"/>
      <c r="Q411" s="29"/>
      <c r="R411" s="29"/>
      <c r="S411" s="29"/>
    </row>
    <row r="412" spans="13:19" ht="16.5" customHeight="1" x14ac:dyDescent="0.2">
      <c r="M412" s="29"/>
      <c r="N412" s="29"/>
      <c r="O412" s="29"/>
      <c r="P412" s="29"/>
      <c r="Q412" s="29"/>
      <c r="R412" s="29"/>
      <c r="S412" s="29"/>
    </row>
    <row r="413" spans="13:19" ht="16.5" customHeight="1" x14ac:dyDescent="0.2">
      <c r="M413" s="29"/>
      <c r="N413" s="29"/>
      <c r="O413" s="29"/>
      <c r="P413" s="29"/>
      <c r="Q413" s="29"/>
      <c r="R413" s="29"/>
      <c r="S413" s="29"/>
    </row>
    <row r="414" spans="13:19" ht="16.5" customHeight="1" x14ac:dyDescent="0.2">
      <c r="M414" s="29"/>
      <c r="N414" s="29"/>
      <c r="O414" s="29"/>
      <c r="P414" s="29"/>
      <c r="Q414" s="29"/>
      <c r="R414" s="29"/>
      <c r="S414" s="29"/>
    </row>
    <row r="415" spans="13:19" ht="16.5" customHeight="1" x14ac:dyDescent="0.2">
      <c r="M415" s="29"/>
      <c r="N415" s="29"/>
      <c r="O415" s="29"/>
      <c r="P415" s="29"/>
      <c r="Q415" s="29"/>
      <c r="R415" s="29"/>
      <c r="S415" s="29"/>
    </row>
    <row r="416" spans="13:19" ht="16.5" customHeight="1" x14ac:dyDescent="0.2">
      <c r="M416" s="29"/>
      <c r="N416" s="29"/>
      <c r="O416" s="29"/>
      <c r="P416" s="29"/>
      <c r="Q416" s="29"/>
      <c r="R416" s="29"/>
      <c r="S416" s="29"/>
    </row>
    <row r="417" spans="13:19" ht="16.5" customHeight="1" x14ac:dyDescent="0.2">
      <c r="M417" s="29"/>
      <c r="N417" s="29"/>
      <c r="O417" s="29"/>
      <c r="P417" s="29"/>
      <c r="Q417" s="29"/>
      <c r="R417" s="29"/>
      <c r="S417" s="29"/>
    </row>
    <row r="418" spans="13:19" ht="16.5" customHeight="1" x14ac:dyDescent="0.2">
      <c r="M418" s="29"/>
      <c r="N418" s="29"/>
      <c r="O418" s="29"/>
      <c r="P418" s="29"/>
      <c r="Q418" s="29"/>
      <c r="R418" s="29"/>
      <c r="S418" s="29"/>
    </row>
    <row r="419" spans="13:19" ht="16.5" customHeight="1" x14ac:dyDescent="0.2">
      <c r="M419" s="29"/>
      <c r="N419" s="29"/>
      <c r="O419" s="29"/>
      <c r="P419" s="29"/>
      <c r="Q419" s="29"/>
      <c r="R419" s="29"/>
      <c r="S419" s="29"/>
    </row>
    <row r="420" spans="13:19" ht="16.5" customHeight="1" x14ac:dyDescent="0.2">
      <c r="M420" s="29"/>
      <c r="N420" s="29"/>
      <c r="O420" s="29"/>
      <c r="P420" s="29"/>
      <c r="Q420" s="29"/>
      <c r="R420" s="29"/>
      <c r="S420" s="29"/>
    </row>
    <row r="421" spans="13:19" ht="16.5" customHeight="1" x14ac:dyDescent="0.2">
      <c r="M421" s="29"/>
      <c r="N421" s="29"/>
      <c r="O421" s="29"/>
      <c r="P421" s="29"/>
      <c r="Q421" s="29"/>
      <c r="R421" s="29"/>
      <c r="S421" s="29"/>
    </row>
    <row r="422" spans="13:19" ht="16.5" customHeight="1" x14ac:dyDescent="0.2">
      <c r="M422" s="29"/>
      <c r="N422" s="29"/>
      <c r="O422" s="29"/>
      <c r="P422" s="29"/>
      <c r="Q422" s="29"/>
      <c r="R422" s="29"/>
      <c r="S422" s="29"/>
    </row>
    <row r="423" spans="13:19" ht="16.5" customHeight="1" x14ac:dyDescent="0.2">
      <c r="M423" s="29"/>
      <c r="N423" s="29"/>
      <c r="O423" s="29"/>
      <c r="P423" s="29"/>
      <c r="Q423" s="29"/>
      <c r="R423" s="29"/>
      <c r="S423" s="29"/>
    </row>
    <row r="424" spans="13:19" ht="16.5" customHeight="1" x14ac:dyDescent="0.2">
      <c r="M424" s="29"/>
      <c r="N424" s="29"/>
      <c r="O424" s="29"/>
      <c r="P424" s="29"/>
      <c r="Q424" s="29"/>
      <c r="R424" s="29"/>
      <c r="S424" s="29"/>
    </row>
    <row r="425" spans="13:19" ht="16.5" customHeight="1" x14ac:dyDescent="0.2">
      <c r="M425" s="29"/>
      <c r="N425" s="29"/>
      <c r="O425" s="29"/>
      <c r="P425" s="29"/>
      <c r="Q425" s="29"/>
      <c r="R425" s="29"/>
      <c r="S425" s="29"/>
    </row>
    <row r="426" spans="13:19" ht="16.5" customHeight="1" x14ac:dyDescent="0.2">
      <c r="M426" s="29"/>
      <c r="N426" s="29"/>
      <c r="O426" s="29"/>
      <c r="P426" s="29"/>
      <c r="Q426" s="29"/>
      <c r="R426" s="29"/>
      <c r="S426" s="29"/>
    </row>
    <row r="427" spans="13:19" ht="16.5" customHeight="1" x14ac:dyDescent="0.2">
      <c r="M427" s="29"/>
      <c r="N427" s="29"/>
      <c r="O427" s="29"/>
      <c r="P427" s="29"/>
      <c r="Q427" s="29"/>
      <c r="R427" s="29"/>
      <c r="S427" s="29"/>
    </row>
    <row r="428" spans="13:19" ht="16.5" customHeight="1" x14ac:dyDescent="0.2">
      <c r="M428" s="29"/>
      <c r="N428" s="29"/>
      <c r="O428" s="29"/>
      <c r="P428" s="29"/>
      <c r="Q428" s="29"/>
      <c r="R428" s="29"/>
      <c r="S428" s="29"/>
    </row>
    <row r="429" spans="13:19" ht="16.5" customHeight="1" x14ac:dyDescent="0.2">
      <c r="M429" s="29"/>
      <c r="N429" s="29"/>
      <c r="O429" s="29"/>
      <c r="P429" s="29"/>
      <c r="Q429" s="29"/>
      <c r="R429" s="29"/>
      <c r="S429" s="29"/>
    </row>
    <row r="430" spans="13:19" ht="16.5" customHeight="1" x14ac:dyDescent="0.2">
      <c r="M430" s="29"/>
      <c r="N430" s="29"/>
      <c r="O430" s="29"/>
      <c r="P430" s="29"/>
      <c r="Q430" s="29"/>
      <c r="R430" s="29"/>
      <c r="S430" s="29"/>
    </row>
    <row r="431" spans="13:19" ht="16.5" customHeight="1" x14ac:dyDescent="0.2">
      <c r="M431" s="29"/>
      <c r="N431" s="29"/>
      <c r="O431" s="29"/>
      <c r="P431" s="29"/>
      <c r="Q431" s="29"/>
      <c r="R431" s="29"/>
      <c r="S431" s="29"/>
    </row>
    <row r="432" spans="13:19" ht="16.5" customHeight="1" x14ac:dyDescent="0.2">
      <c r="M432" s="29"/>
      <c r="N432" s="29"/>
      <c r="O432" s="29"/>
      <c r="P432" s="29"/>
      <c r="Q432" s="29"/>
      <c r="R432" s="29"/>
      <c r="S432" s="29"/>
    </row>
    <row r="433" spans="13:19" ht="16.5" customHeight="1" x14ac:dyDescent="0.2">
      <c r="M433" s="29"/>
      <c r="N433" s="29"/>
      <c r="O433" s="29"/>
      <c r="P433" s="29"/>
      <c r="Q433" s="29"/>
      <c r="R433" s="29"/>
      <c r="S433" s="29"/>
    </row>
    <row r="434" spans="13:19" ht="16.5" customHeight="1" x14ac:dyDescent="0.2">
      <c r="M434" s="29"/>
      <c r="N434" s="29"/>
      <c r="O434" s="29"/>
      <c r="P434" s="29"/>
      <c r="Q434" s="29"/>
      <c r="R434" s="29"/>
      <c r="S434" s="29"/>
    </row>
    <row r="435" spans="13:19" ht="16.5" customHeight="1" x14ac:dyDescent="0.2">
      <c r="M435" s="29"/>
      <c r="N435" s="29"/>
      <c r="O435" s="29"/>
      <c r="P435" s="29"/>
      <c r="Q435" s="29"/>
      <c r="R435" s="29"/>
      <c r="S435" s="29"/>
    </row>
    <row r="436" spans="13:19" ht="16.5" customHeight="1" x14ac:dyDescent="0.2">
      <c r="M436" s="29"/>
      <c r="N436" s="29"/>
      <c r="O436" s="29"/>
      <c r="P436" s="29"/>
      <c r="Q436" s="29"/>
      <c r="R436" s="29"/>
      <c r="S436" s="29"/>
    </row>
    <row r="437" spans="13:19" ht="16.5" customHeight="1" x14ac:dyDescent="0.2">
      <c r="M437" s="29"/>
      <c r="N437" s="29"/>
      <c r="O437" s="29"/>
      <c r="P437" s="29"/>
      <c r="Q437" s="29"/>
      <c r="R437" s="29"/>
      <c r="S437" s="29"/>
    </row>
    <row r="438" spans="13:19" ht="16.5" customHeight="1" x14ac:dyDescent="0.2">
      <c r="M438" s="29"/>
      <c r="N438" s="29"/>
      <c r="O438" s="29"/>
      <c r="P438" s="29"/>
      <c r="Q438" s="29"/>
      <c r="R438" s="29"/>
      <c r="S438" s="29"/>
    </row>
    <row r="439" spans="13:19" ht="16.5" customHeight="1" x14ac:dyDescent="0.2">
      <c r="M439" s="29"/>
      <c r="N439" s="29"/>
      <c r="O439" s="29"/>
      <c r="P439" s="29"/>
      <c r="Q439" s="29"/>
      <c r="R439" s="29"/>
      <c r="S439" s="29"/>
    </row>
    <row r="440" spans="13:19" ht="16.5" customHeight="1" x14ac:dyDescent="0.2">
      <c r="M440" s="29"/>
      <c r="N440" s="29"/>
      <c r="O440" s="29"/>
      <c r="P440" s="29"/>
      <c r="Q440" s="29"/>
      <c r="R440" s="29"/>
      <c r="S440" s="29"/>
    </row>
    <row r="441" spans="13:19" ht="16.5" customHeight="1" x14ac:dyDescent="0.2">
      <c r="M441" s="29"/>
      <c r="N441" s="29"/>
      <c r="O441" s="29"/>
      <c r="P441" s="29"/>
      <c r="Q441" s="29"/>
      <c r="R441" s="29"/>
      <c r="S441" s="29"/>
    </row>
    <row r="442" spans="13:19" ht="16.5" customHeight="1" x14ac:dyDescent="0.2">
      <c r="M442" s="29"/>
      <c r="N442" s="29"/>
      <c r="O442" s="29"/>
      <c r="P442" s="29"/>
      <c r="Q442" s="29"/>
      <c r="R442" s="29"/>
      <c r="S442" s="29"/>
    </row>
    <row r="443" spans="13:19" ht="16.5" customHeight="1" x14ac:dyDescent="0.2">
      <c r="M443" s="29"/>
      <c r="N443" s="29"/>
      <c r="O443" s="29"/>
      <c r="P443" s="29"/>
      <c r="Q443" s="29"/>
      <c r="R443" s="29"/>
      <c r="S443" s="29"/>
    </row>
    <row r="444" spans="13:19" ht="16.5" customHeight="1" x14ac:dyDescent="0.2">
      <c r="M444" s="29"/>
      <c r="N444" s="29"/>
      <c r="O444" s="29"/>
      <c r="P444" s="29"/>
      <c r="Q444" s="29"/>
      <c r="R444" s="29"/>
      <c r="S444" s="29"/>
    </row>
    <row r="445" spans="13:19" ht="16.5" customHeight="1" x14ac:dyDescent="0.2">
      <c r="M445" s="29"/>
      <c r="N445" s="29"/>
      <c r="O445" s="29"/>
      <c r="P445" s="29"/>
      <c r="Q445" s="29"/>
      <c r="R445" s="29"/>
      <c r="S445" s="29"/>
    </row>
    <row r="446" spans="13:19" ht="16.5" customHeight="1" x14ac:dyDescent="0.2">
      <c r="M446" s="29"/>
      <c r="N446" s="29"/>
      <c r="O446" s="29"/>
      <c r="P446" s="29"/>
      <c r="Q446" s="29"/>
      <c r="R446" s="29"/>
      <c r="S446" s="29"/>
    </row>
    <row r="447" spans="13:19" ht="16.5" customHeight="1" x14ac:dyDescent="0.2">
      <c r="M447" s="29"/>
      <c r="N447" s="29"/>
      <c r="O447" s="29"/>
      <c r="P447" s="29"/>
      <c r="Q447" s="29"/>
      <c r="R447" s="29"/>
      <c r="S447" s="29"/>
    </row>
    <row r="448" spans="13:19" ht="16.5" customHeight="1" x14ac:dyDescent="0.2">
      <c r="M448" s="29"/>
      <c r="N448" s="29"/>
      <c r="O448" s="29"/>
      <c r="P448" s="29"/>
      <c r="Q448" s="29"/>
      <c r="R448" s="29"/>
      <c r="S448" s="29"/>
    </row>
    <row r="449" spans="13:19" ht="16.5" customHeight="1" x14ac:dyDescent="0.2">
      <c r="M449" s="29"/>
      <c r="N449" s="29"/>
      <c r="O449" s="29"/>
      <c r="P449" s="29"/>
      <c r="Q449" s="29"/>
      <c r="R449" s="29"/>
      <c r="S449" s="29"/>
    </row>
    <row r="450" spans="13:19" ht="16.5" customHeight="1" x14ac:dyDescent="0.2">
      <c r="M450" s="29"/>
      <c r="N450" s="29"/>
      <c r="O450" s="29"/>
      <c r="P450" s="29"/>
      <c r="Q450" s="29"/>
      <c r="R450" s="29"/>
      <c r="S450" s="29"/>
    </row>
    <row r="451" spans="13:19" ht="16.5" customHeight="1" x14ac:dyDescent="0.2">
      <c r="M451" s="29"/>
      <c r="N451" s="29"/>
      <c r="O451" s="29"/>
      <c r="P451" s="29"/>
      <c r="Q451" s="29"/>
      <c r="R451" s="29"/>
      <c r="S451" s="29"/>
    </row>
    <row r="452" spans="13:19" ht="16.5" customHeight="1" x14ac:dyDescent="0.2">
      <c r="M452" s="29"/>
      <c r="N452" s="29"/>
      <c r="O452" s="29"/>
      <c r="P452" s="29"/>
      <c r="Q452" s="29"/>
      <c r="R452" s="29"/>
      <c r="S452" s="29"/>
    </row>
    <row r="453" spans="13:19" ht="16.5" customHeight="1" x14ac:dyDescent="0.2">
      <c r="M453" s="29"/>
      <c r="N453" s="29"/>
      <c r="O453" s="29"/>
      <c r="P453" s="29"/>
      <c r="Q453" s="29"/>
      <c r="R453" s="29"/>
      <c r="S453" s="29"/>
    </row>
    <row r="454" spans="13:19" ht="16.5" customHeight="1" x14ac:dyDescent="0.2">
      <c r="M454" s="29"/>
      <c r="N454" s="29"/>
      <c r="O454" s="29"/>
      <c r="P454" s="29"/>
      <c r="Q454" s="29"/>
      <c r="R454" s="29"/>
      <c r="S454" s="29"/>
    </row>
    <row r="455" spans="13:19" ht="16.5" customHeight="1" x14ac:dyDescent="0.2">
      <c r="M455" s="29"/>
      <c r="N455" s="29"/>
      <c r="O455" s="29"/>
      <c r="P455" s="29"/>
      <c r="Q455" s="29"/>
      <c r="R455" s="29"/>
      <c r="S455" s="29"/>
    </row>
    <row r="456" spans="13:19" ht="16.5" customHeight="1" x14ac:dyDescent="0.2">
      <c r="M456" s="29"/>
      <c r="N456" s="29"/>
      <c r="O456" s="29"/>
      <c r="P456" s="29"/>
      <c r="Q456" s="29"/>
      <c r="R456" s="29"/>
      <c r="S456" s="29"/>
    </row>
    <row r="457" spans="13:19" ht="16.5" customHeight="1" x14ac:dyDescent="0.2">
      <c r="M457" s="29"/>
      <c r="N457" s="29"/>
      <c r="O457" s="29"/>
      <c r="P457" s="29"/>
      <c r="Q457" s="29"/>
      <c r="R457" s="29"/>
      <c r="S457" s="29"/>
    </row>
    <row r="458" spans="13:19" ht="16.5" customHeight="1" x14ac:dyDescent="0.2">
      <c r="M458" s="29"/>
      <c r="N458" s="29"/>
      <c r="O458" s="29"/>
      <c r="P458" s="29"/>
      <c r="Q458" s="29"/>
      <c r="R458" s="29"/>
      <c r="S458" s="29"/>
    </row>
    <row r="459" spans="13:19" ht="16.5" customHeight="1" x14ac:dyDescent="0.2">
      <c r="M459" s="29"/>
      <c r="N459" s="29"/>
      <c r="O459" s="29"/>
      <c r="P459" s="29"/>
      <c r="Q459" s="29"/>
      <c r="R459" s="29"/>
      <c r="S459" s="29"/>
    </row>
    <row r="460" spans="13:19" ht="16.5" customHeight="1" x14ac:dyDescent="0.2">
      <c r="M460" s="29"/>
      <c r="N460" s="29"/>
      <c r="O460" s="29"/>
      <c r="P460" s="29"/>
      <c r="Q460" s="29"/>
      <c r="R460" s="29"/>
      <c r="S460" s="29"/>
    </row>
    <row r="461" spans="13:19" ht="16.5" customHeight="1" x14ac:dyDescent="0.2">
      <c r="M461" s="29"/>
      <c r="N461" s="29"/>
      <c r="O461" s="29"/>
      <c r="P461" s="29"/>
      <c r="Q461" s="29"/>
      <c r="R461" s="29"/>
      <c r="S461" s="29"/>
    </row>
    <row r="462" spans="13:19" ht="16.5" customHeight="1" x14ac:dyDescent="0.2">
      <c r="M462" s="29"/>
      <c r="N462" s="29"/>
      <c r="O462" s="29"/>
      <c r="P462" s="29"/>
      <c r="Q462" s="29"/>
      <c r="R462" s="29"/>
      <c r="S462" s="29"/>
    </row>
    <row r="463" spans="13:19" ht="16.5" customHeight="1" x14ac:dyDescent="0.2">
      <c r="M463" s="29"/>
      <c r="N463" s="29"/>
      <c r="O463" s="29"/>
      <c r="P463" s="29"/>
      <c r="Q463" s="29"/>
      <c r="R463" s="29"/>
      <c r="S463" s="29"/>
    </row>
    <row r="464" spans="13:19" ht="16.5" customHeight="1" x14ac:dyDescent="0.2">
      <c r="M464" s="29"/>
      <c r="N464" s="29"/>
      <c r="O464" s="29"/>
      <c r="P464" s="29"/>
      <c r="Q464" s="29"/>
      <c r="R464" s="29"/>
      <c r="S464" s="29"/>
    </row>
    <row r="465" spans="13:19" ht="16.5" customHeight="1" x14ac:dyDescent="0.2">
      <c r="M465" s="29"/>
      <c r="N465" s="29"/>
      <c r="O465" s="29"/>
      <c r="P465" s="29"/>
      <c r="Q465" s="29"/>
      <c r="R465" s="29"/>
      <c r="S465" s="29"/>
    </row>
    <row r="466" spans="13:19" ht="16.5" customHeight="1" x14ac:dyDescent="0.2">
      <c r="M466" s="29"/>
      <c r="N466" s="29"/>
      <c r="O466" s="29"/>
      <c r="P466" s="29"/>
      <c r="Q466" s="29"/>
      <c r="R466" s="29"/>
      <c r="S466" s="29"/>
    </row>
    <row r="467" spans="13:19" ht="16.5" customHeight="1" x14ac:dyDescent="0.2">
      <c r="M467" s="29"/>
      <c r="N467" s="29"/>
      <c r="O467" s="29"/>
      <c r="P467" s="29"/>
      <c r="Q467" s="29"/>
      <c r="R467" s="29"/>
      <c r="S467" s="29"/>
    </row>
    <row r="468" spans="13:19" ht="16.5" customHeight="1" x14ac:dyDescent="0.2">
      <c r="M468" s="29"/>
      <c r="N468" s="29"/>
      <c r="O468" s="29"/>
      <c r="P468" s="29"/>
      <c r="Q468" s="29"/>
      <c r="R468" s="29"/>
      <c r="S468" s="29"/>
    </row>
    <row r="469" spans="13:19" ht="16.5" customHeight="1" x14ac:dyDescent="0.2">
      <c r="M469" s="29"/>
      <c r="N469" s="29"/>
      <c r="O469" s="29"/>
      <c r="P469" s="29"/>
      <c r="Q469" s="29"/>
      <c r="R469" s="29"/>
      <c r="S469" s="29"/>
    </row>
    <row r="470" spans="13:19" ht="16.5" customHeight="1" x14ac:dyDescent="0.2">
      <c r="M470" s="29"/>
      <c r="N470" s="29"/>
      <c r="O470" s="29"/>
      <c r="P470" s="29"/>
      <c r="Q470" s="29"/>
      <c r="R470" s="29"/>
      <c r="S470" s="29"/>
    </row>
    <row r="471" spans="13:19" ht="16.5" customHeight="1" x14ac:dyDescent="0.2">
      <c r="M471" s="29"/>
      <c r="N471" s="29"/>
      <c r="O471" s="29"/>
      <c r="P471" s="29"/>
      <c r="Q471" s="29"/>
      <c r="R471" s="29"/>
      <c r="S471" s="29"/>
    </row>
    <row r="472" spans="13:19" ht="16.5" customHeight="1" x14ac:dyDescent="0.2">
      <c r="M472" s="29"/>
      <c r="N472" s="29"/>
      <c r="O472" s="29"/>
      <c r="P472" s="29"/>
      <c r="Q472" s="29"/>
      <c r="R472" s="29"/>
      <c r="S472" s="29"/>
    </row>
    <row r="473" spans="13:19" ht="16.5" customHeight="1" x14ac:dyDescent="0.2">
      <c r="M473" s="29"/>
      <c r="N473" s="29"/>
      <c r="O473" s="29"/>
      <c r="P473" s="29"/>
      <c r="Q473" s="29"/>
      <c r="R473" s="29"/>
      <c r="S473" s="29"/>
    </row>
    <row r="474" spans="13:19" ht="16.5" customHeight="1" x14ac:dyDescent="0.2">
      <c r="M474" s="29"/>
      <c r="N474" s="29"/>
      <c r="O474" s="29"/>
      <c r="P474" s="29"/>
      <c r="Q474" s="29"/>
      <c r="R474" s="29"/>
      <c r="S474" s="29"/>
    </row>
    <row r="475" spans="13:19" ht="16.5" customHeight="1" x14ac:dyDescent="0.2">
      <c r="M475" s="29"/>
      <c r="N475" s="29"/>
      <c r="O475" s="29"/>
      <c r="P475" s="29"/>
      <c r="Q475" s="29"/>
      <c r="R475" s="29"/>
      <c r="S475" s="29"/>
    </row>
    <row r="476" spans="13:19" ht="16.5" customHeight="1" x14ac:dyDescent="0.2">
      <c r="M476" s="29"/>
      <c r="N476" s="29"/>
      <c r="O476" s="29"/>
      <c r="P476" s="29"/>
      <c r="Q476" s="29"/>
      <c r="R476" s="29"/>
      <c r="S476" s="29"/>
    </row>
    <row r="477" spans="13:19" ht="16.5" customHeight="1" x14ac:dyDescent="0.2">
      <c r="M477" s="29"/>
      <c r="N477" s="29"/>
      <c r="O477" s="29"/>
      <c r="P477" s="29"/>
      <c r="Q477" s="29"/>
      <c r="R477" s="29"/>
      <c r="S477" s="29"/>
    </row>
    <row r="478" spans="13:19" ht="16.5" customHeight="1" x14ac:dyDescent="0.2">
      <c r="M478" s="29"/>
      <c r="N478" s="29"/>
      <c r="O478" s="29"/>
      <c r="P478" s="29"/>
      <c r="Q478" s="29"/>
      <c r="R478" s="29"/>
      <c r="S478" s="29"/>
    </row>
    <row r="479" spans="13:19" ht="16.5" customHeight="1" x14ac:dyDescent="0.2">
      <c r="M479" s="29"/>
      <c r="N479" s="29"/>
      <c r="O479" s="29"/>
      <c r="P479" s="29"/>
      <c r="Q479" s="29"/>
      <c r="R479" s="29"/>
      <c r="S479" s="29"/>
    </row>
    <row r="480" spans="13:19" ht="16.5" customHeight="1" x14ac:dyDescent="0.2">
      <c r="M480" s="29"/>
      <c r="N480" s="29"/>
      <c r="O480" s="29"/>
      <c r="P480" s="29"/>
      <c r="Q480" s="29"/>
      <c r="R480" s="29"/>
      <c r="S480" s="29"/>
    </row>
    <row r="481" spans="13:19" ht="16.5" customHeight="1" x14ac:dyDescent="0.2">
      <c r="M481" s="29"/>
      <c r="N481" s="29"/>
      <c r="O481" s="29"/>
      <c r="P481" s="29"/>
      <c r="Q481" s="29"/>
      <c r="R481" s="29"/>
      <c r="S481" s="29"/>
    </row>
    <row r="482" spans="13:19" ht="16.5" customHeight="1" x14ac:dyDescent="0.2">
      <c r="M482" s="29"/>
      <c r="N482" s="29"/>
      <c r="O482" s="29"/>
      <c r="P482" s="29"/>
      <c r="Q482" s="29"/>
      <c r="R482" s="29"/>
      <c r="S482" s="29"/>
    </row>
    <row r="483" spans="13:19" ht="16.5" customHeight="1" x14ac:dyDescent="0.2">
      <c r="M483" s="29"/>
      <c r="N483" s="29"/>
      <c r="O483" s="29"/>
      <c r="P483" s="29"/>
      <c r="Q483" s="29"/>
      <c r="R483" s="29"/>
      <c r="S483" s="29"/>
    </row>
    <row r="484" spans="13:19" ht="16.5" customHeight="1" x14ac:dyDescent="0.2">
      <c r="M484" s="29"/>
      <c r="N484" s="29"/>
      <c r="O484" s="29"/>
      <c r="P484" s="29"/>
      <c r="Q484" s="29"/>
      <c r="R484" s="29"/>
      <c r="S484" s="29"/>
    </row>
    <row r="485" spans="13:19" ht="16.5" customHeight="1" x14ac:dyDescent="0.2">
      <c r="M485" s="29"/>
      <c r="N485" s="29"/>
      <c r="O485" s="29"/>
      <c r="P485" s="29"/>
      <c r="Q485" s="29"/>
      <c r="R485" s="29"/>
      <c r="S485" s="29"/>
    </row>
    <row r="486" spans="13:19" ht="16.5" customHeight="1" x14ac:dyDescent="0.2">
      <c r="M486" s="29"/>
      <c r="N486" s="29"/>
      <c r="O486" s="29"/>
      <c r="P486" s="29"/>
      <c r="Q486" s="29"/>
      <c r="R486" s="29"/>
      <c r="S486" s="29"/>
    </row>
    <row r="487" spans="13:19" ht="16.5" customHeight="1" x14ac:dyDescent="0.2">
      <c r="M487" s="29"/>
      <c r="N487" s="29"/>
      <c r="O487" s="29"/>
      <c r="P487" s="29"/>
      <c r="Q487" s="29"/>
      <c r="R487" s="29"/>
      <c r="S487" s="29"/>
    </row>
    <row r="488" spans="13:19" ht="16.5" customHeight="1" x14ac:dyDescent="0.2">
      <c r="M488" s="29"/>
      <c r="N488" s="29"/>
      <c r="O488" s="29"/>
      <c r="P488" s="29"/>
      <c r="Q488" s="29"/>
      <c r="R488" s="29"/>
      <c r="S488" s="29"/>
    </row>
    <row r="489" spans="13:19" ht="16.5" customHeight="1" x14ac:dyDescent="0.2">
      <c r="M489" s="29"/>
      <c r="N489" s="29"/>
      <c r="O489" s="29"/>
      <c r="P489" s="29"/>
      <c r="Q489" s="29"/>
      <c r="R489" s="29"/>
      <c r="S489" s="29"/>
    </row>
    <row r="490" spans="13:19" ht="16.5" customHeight="1" x14ac:dyDescent="0.2">
      <c r="M490" s="29"/>
      <c r="N490" s="29"/>
      <c r="O490" s="29"/>
      <c r="P490" s="29"/>
      <c r="Q490" s="29"/>
      <c r="R490" s="29"/>
      <c r="S490" s="29"/>
    </row>
    <row r="491" spans="13:19" ht="16.5" customHeight="1" x14ac:dyDescent="0.2">
      <c r="M491" s="29"/>
      <c r="N491" s="29"/>
      <c r="O491" s="29"/>
      <c r="P491" s="29"/>
      <c r="Q491" s="29"/>
      <c r="R491" s="29"/>
      <c r="S491" s="29"/>
    </row>
    <row r="492" spans="13:19" ht="16.5" customHeight="1" x14ac:dyDescent="0.2">
      <c r="M492" s="29"/>
      <c r="N492" s="29"/>
      <c r="O492" s="29"/>
      <c r="P492" s="29"/>
      <c r="Q492" s="29"/>
      <c r="R492" s="29"/>
      <c r="S492" s="29"/>
    </row>
    <row r="493" spans="13:19" ht="16.5" customHeight="1" x14ac:dyDescent="0.2">
      <c r="M493" s="29"/>
      <c r="N493" s="29"/>
      <c r="O493" s="29"/>
      <c r="P493" s="29"/>
      <c r="Q493" s="29"/>
      <c r="R493" s="29"/>
      <c r="S493" s="29"/>
    </row>
    <row r="494" spans="13:19" ht="16.5" customHeight="1" x14ac:dyDescent="0.2">
      <c r="M494" s="29"/>
      <c r="N494" s="29"/>
      <c r="O494" s="29"/>
      <c r="P494" s="29"/>
      <c r="Q494" s="29"/>
      <c r="R494" s="29"/>
      <c r="S494" s="29"/>
    </row>
    <row r="495" spans="13:19" ht="16.5" customHeight="1" x14ac:dyDescent="0.2">
      <c r="M495" s="29"/>
      <c r="N495" s="29"/>
      <c r="O495" s="29"/>
      <c r="P495" s="29"/>
      <c r="Q495" s="29"/>
      <c r="R495" s="29"/>
      <c r="S495" s="29"/>
    </row>
    <row r="496" spans="13:19" ht="16.5" customHeight="1" x14ac:dyDescent="0.2">
      <c r="M496" s="29"/>
      <c r="N496" s="29"/>
      <c r="O496" s="29"/>
      <c r="P496" s="29"/>
      <c r="Q496" s="29"/>
      <c r="R496" s="29"/>
      <c r="S496" s="29"/>
    </row>
    <row r="497" spans="13:19" ht="16.5" customHeight="1" x14ac:dyDescent="0.2">
      <c r="M497" s="29"/>
      <c r="N497" s="29"/>
      <c r="O497" s="29"/>
      <c r="P497" s="29"/>
      <c r="Q497" s="29"/>
      <c r="R497" s="29"/>
      <c r="S497" s="29"/>
    </row>
    <row r="498" spans="13:19" ht="16.5" customHeight="1" x14ac:dyDescent="0.2">
      <c r="M498" s="29"/>
      <c r="N498" s="29"/>
      <c r="O498" s="29"/>
      <c r="P498" s="29"/>
      <c r="Q498" s="29"/>
      <c r="R498" s="29"/>
      <c r="S498" s="29"/>
    </row>
    <row r="499" spans="13:19" ht="16.5" customHeight="1" x14ac:dyDescent="0.2">
      <c r="M499" s="29"/>
      <c r="N499" s="29"/>
      <c r="O499" s="29"/>
      <c r="P499" s="29"/>
      <c r="Q499" s="29"/>
      <c r="R499" s="29"/>
      <c r="S499" s="29"/>
    </row>
    <row r="500" spans="13:19" ht="16.5" customHeight="1" x14ac:dyDescent="0.2">
      <c r="M500" s="29"/>
      <c r="N500" s="29"/>
      <c r="O500" s="29"/>
      <c r="P500" s="29"/>
      <c r="Q500" s="29"/>
      <c r="R500" s="29"/>
      <c r="S500" s="29"/>
    </row>
    <row r="501" spans="13:19" ht="16.5" customHeight="1" x14ac:dyDescent="0.2">
      <c r="M501" s="29"/>
      <c r="N501" s="29"/>
      <c r="O501" s="29"/>
      <c r="P501" s="29"/>
      <c r="Q501" s="29"/>
      <c r="R501" s="29"/>
      <c r="S501" s="29"/>
    </row>
    <row r="502" spans="13:19" ht="16.5" customHeight="1" x14ac:dyDescent="0.2">
      <c r="M502" s="29"/>
      <c r="N502" s="29"/>
      <c r="O502" s="29"/>
      <c r="P502" s="29"/>
      <c r="Q502" s="29"/>
      <c r="R502" s="29"/>
      <c r="S502" s="29"/>
    </row>
    <row r="503" spans="13:19" ht="16.5" customHeight="1" x14ac:dyDescent="0.2">
      <c r="M503" s="29"/>
      <c r="N503" s="29"/>
      <c r="O503" s="29"/>
      <c r="P503" s="29"/>
      <c r="Q503" s="29"/>
      <c r="R503" s="29"/>
      <c r="S503" s="29"/>
    </row>
    <row r="504" spans="13:19" ht="16.5" customHeight="1" x14ac:dyDescent="0.2">
      <c r="M504" s="29"/>
      <c r="N504" s="29"/>
      <c r="O504" s="29"/>
      <c r="P504" s="29"/>
      <c r="Q504" s="29"/>
      <c r="R504" s="29"/>
      <c r="S504" s="29"/>
    </row>
    <row r="505" spans="13:19" ht="16.5" customHeight="1" x14ac:dyDescent="0.2">
      <c r="M505" s="29"/>
      <c r="N505" s="29"/>
      <c r="O505" s="29"/>
      <c r="P505" s="29"/>
      <c r="Q505" s="29"/>
      <c r="R505" s="29"/>
      <c r="S505" s="29"/>
    </row>
    <row r="506" spans="13:19" ht="16.5" customHeight="1" x14ac:dyDescent="0.2">
      <c r="M506" s="29"/>
      <c r="N506" s="29"/>
      <c r="O506" s="29"/>
      <c r="P506" s="29"/>
      <c r="Q506" s="29"/>
      <c r="R506" s="29"/>
      <c r="S506" s="29"/>
    </row>
    <row r="507" spans="13:19" ht="16.5" customHeight="1" x14ac:dyDescent="0.2">
      <c r="M507" s="29"/>
      <c r="N507" s="29"/>
      <c r="O507" s="29"/>
      <c r="P507" s="29"/>
      <c r="Q507" s="29"/>
      <c r="R507" s="29"/>
      <c r="S507" s="29"/>
    </row>
    <row r="508" spans="13:19" ht="16.5" customHeight="1" x14ac:dyDescent="0.2">
      <c r="M508" s="29"/>
      <c r="N508" s="29"/>
      <c r="O508" s="29"/>
      <c r="P508" s="29"/>
      <c r="Q508" s="29"/>
      <c r="R508" s="29"/>
      <c r="S508" s="29"/>
    </row>
    <row r="509" spans="13:19" ht="16.5" customHeight="1" x14ac:dyDescent="0.2">
      <c r="M509" s="29"/>
      <c r="N509" s="29"/>
      <c r="O509" s="29"/>
      <c r="P509" s="29"/>
      <c r="Q509" s="29"/>
      <c r="R509" s="29"/>
      <c r="S509" s="29"/>
    </row>
    <row r="510" spans="13:19" ht="16.5" customHeight="1" x14ac:dyDescent="0.2">
      <c r="M510" s="29"/>
      <c r="N510" s="29"/>
      <c r="O510" s="29"/>
      <c r="P510" s="29"/>
      <c r="Q510" s="29"/>
      <c r="R510" s="29"/>
      <c r="S510" s="29"/>
    </row>
    <row r="511" spans="13:19" ht="16.5" customHeight="1" x14ac:dyDescent="0.2">
      <c r="M511" s="29"/>
      <c r="N511" s="29"/>
      <c r="O511" s="29"/>
      <c r="P511" s="29"/>
      <c r="Q511" s="29"/>
      <c r="R511" s="29"/>
      <c r="S511" s="29"/>
    </row>
    <row r="512" spans="13:19" ht="16.5" customHeight="1" x14ac:dyDescent="0.2">
      <c r="M512" s="29"/>
      <c r="N512" s="29"/>
      <c r="O512" s="29"/>
      <c r="P512" s="29"/>
      <c r="Q512" s="29"/>
      <c r="R512" s="29"/>
      <c r="S512" s="29"/>
    </row>
    <row r="513" spans="13:19" ht="16.5" customHeight="1" x14ac:dyDescent="0.2">
      <c r="M513" s="29"/>
      <c r="N513" s="29"/>
      <c r="O513" s="29"/>
      <c r="P513" s="29"/>
      <c r="Q513" s="29"/>
      <c r="R513" s="29"/>
      <c r="S513" s="29"/>
    </row>
    <row r="514" spans="13:19" ht="16.5" customHeight="1" x14ac:dyDescent="0.2">
      <c r="M514" s="29"/>
      <c r="N514" s="29"/>
      <c r="O514" s="29"/>
      <c r="P514" s="29"/>
      <c r="Q514" s="29"/>
      <c r="R514" s="29"/>
      <c r="S514" s="29"/>
    </row>
    <row r="515" spans="13:19" ht="16.5" customHeight="1" x14ac:dyDescent="0.2">
      <c r="M515" s="29"/>
      <c r="N515" s="29"/>
      <c r="O515" s="29"/>
      <c r="P515" s="29"/>
      <c r="Q515" s="29"/>
      <c r="R515" s="29"/>
      <c r="S515" s="29"/>
    </row>
    <row r="516" spans="13:19" ht="16.5" customHeight="1" x14ac:dyDescent="0.2">
      <c r="M516" s="29"/>
      <c r="N516" s="29"/>
      <c r="O516" s="29"/>
      <c r="P516" s="29"/>
      <c r="Q516" s="29"/>
      <c r="R516" s="29"/>
      <c r="S516" s="29"/>
    </row>
    <row r="517" spans="13:19" ht="16.5" customHeight="1" x14ac:dyDescent="0.2">
      <c r="M517" s="29"/>
      <c r="N517" s="29"/>
      <c r="O517" s="29"/>
      <c r="P517" s="29"/>
      <c r="Q517" s="29"/>
      <c r="R517" s="29"/>
      <c r="S517" s="29"/>
    </row>
    <row r="518" spans="13:19" ht="16.5" customHeight="1" x14ac:dyDescent="0.2">
      <c r="M518" s="29"/>
      <c r="N518" s="29"/>
      <c r="O518" s="29"/>
      <c r="P518" s="29"/>
      <c r="Q518" s="29"/>
      <c r="R518" s="29"/>
      <c r="S518" s="29"/>
    </row>
    <row r="519" spans="13:19" ht="16.5" customHeight="1" x14ac:dyDescent="0.2">
      <c r="M519" s="29"/>
      <c r="N519" s="29"/>
      <c r="O519" s="29"/>
      <c r="P519" s="29"/>
      <c r="Q519" s="29"/>
      <c r="R519" s="29"/>
      <c r="S519" s="29"/>
    </row>
    <row r="520" spans="13:19" ht="16.5" customHeight="1" x14ac:dyDescent="0.2">
      <c r="M520" s="29"/>
      <c r="N520" s="29"/>
      <c r="O520" s="29"/>
      <c r="P520" s="29"/>
      <c r="Q520" s="29"/>
      <c r="R520" s="29"/>
      <c r="S520" s="29"/>
    </row>
    <row r="521" spans="13:19" ht="16.5" customHeight="1" x14ac:dyDescent="0.2">
      <c r="M521" s="29"/>
      <c r="N521" s="29"/>
      <c r="O521" s="29"/>
      <c r="P521" s="29"/>
      <c r="Q521" s="29"/>
      <c r="R521" s="29"/>
      <c r="S521" s="29"/>
    </row>
    <row r="522" spans="13:19" ht="16.5" customHeight="1" x14ac:dyDescent="0.2">
      <c r="M522" s="29"/>
      <c r="N522" s="29"/>
      <c r="O522" s="29"/>
      <c r="P522" s="29"/>
      <c r="Q522" s="29"/>
      <c r="R522" s="29"/>
      <c r="S522" s="29"/>
    </row>
    <row r="523" spans="13:19" ht="16.5" customHeight="1" x14ac:dyDescent="0.2">
      <c r="M523" s="29"/>
      <c r="N523" s="29"/>
      <c r="O523" s="29"/>
      <c r="P523" s="29"/>
      <c r="Q523" s="29"/>
      <c r="R523" s="29"/>
      <c r="S523" s="29"/>
    </row>
    <row r="524" spans="13:19" ht="16.5" customHeight="1" x14ac:dyDescent="0.2">
      <c r="M524" s="29"/>
      <c r="N524" s="29"/>
      <c r="O524" s="29"/>
      <c r="P524" s="29"/>
      <c r="Q524" s="29"/>
      <c r="R524" s="29"/>
      <c r="S524" s="29"/>
    </row>
    <row r="525" spans="13:19" ht="16.5" customHeight="1" x14ac:dyDescent="0.2">
      <c r="M525" s="29"/>
      <c r="N525" s="29"/>
      <c r="O525" s="29"/>
      <c r="P525" s="29"/>
      <c r="Q525" s="29"/>
      <c r="R525" s="29"/>
      <c r="S525" s="29"/>
    </row>
    <row r="526" spans="13:19" ht="16.5" customHeight="1" x14ac:dyDescent="0.2">
      <c r="M526" s="29"/>
      <c r="N526" s="29"/>
      <c r="O526" s="29"/>
      <c r="P526" s="29"/>
      <c r="Q526" s="29"/>
      <c r="R526" s="29"/>
      <c r="S526" s="29"/>
    </row>
    <row r="527" spans="13:19" ht="16.5" customHeight="1" x14ac:dyDescent="0.2">
      <c r="M527" s="29"/>
      <c r="N527" s="29"/>
      <c r="O527" s="29"/>
      <c r="P527" s="29"/>
      <c r="Q527" s="29"/>
      <c r="R527" s="29"/>
      <c r="S527" s="29"/>
    </row>
    <row r="528" spans="13:19" ht="16.5" customHeight="1" x14ac:dyDescent="0.2">
      <c r="M528" s="29"/>
      <c r="N528" s="29"/>
      <c r="O528" s="29"/>
      <c r="P528" s="29"/>
      <c r="Q528" s="29"/>
      <c r="R528" s="29"/>
      <c r="S528" s="29"/>
    </row>
    <row r="529" spans="13:19" ht="16.5" customHeight="1" x14ac:dyDescent="0.2">
      <c r="M529" s="29"/>
      <c r="N529" s="29"/>
      <c r="O529" s="29"/>
      <c r="P529" s="29"/>
      <c r="Q529" s="29"/>
      <c r="R529" s="29"/>
      <c r="S529" s="29"/>
    </row>
    <row r="530" spans="13:19" ht="16.5" customHeight="1" x14ac:dyDescent="0.2">
      <c r="M530" s="29"/>
      <c r="N530" s="29"/>
      <c r="O530" s="29"/>
      <c r="P530" s="29"/>
      <c r="Q530" s="29"/>
      <c r="R530" s="29"/>
      <c r="S530" s="29"/>
    </row>
    <row r="531" spans="13:19" ht="16.5" customHeight="1" x14ac:dyDescent="0.2">
      <c r="M531" s="29"/>
      <c r="N531" s="29"/>
      <c r="O531" s="29"/>
      <c r="P531" s="29"/>
      <c r="Q531" s="29"/>
      <c r="R531" s="29"/>
      <c r="S531" s="29"/>
    </row>
    <row r="532" spans="13:19" ht="16.5" customHeight="1" x14ac:dyDescent="0.2">
      <c r="M532" s="29"/>
      <c r="N532" s="29"/>
      <c r="O532" s="29"/>
      <c r="P532" s="29"/>
      <c r="Q532" s="29"/>
      <c r="R532" s="29"/>
      <c r="S532" s="29"/>
    </row>
    <row r="533" spans="13:19" ht="16.5" customHeight="1" x14ac:dyDescent="0.2">
      <c r="M533" s="29"/>
      <c r="N533" s="29"/>
      <c r="O533" s="29"/>
      <c r="P533" s="29"/>
      <c r="Q533" s="29"/>
      <c r="R533" s="29"/>
      <c r="S533" s="29"/>
    </row>
    <row r="534" spans="13:19" ht="16.5" customHeight="1" x14ac:dyDescent="0.2">
      <c r="M534" s="29"/>
      <c r="N534" s="29"/>
      <c r="O534" s="29"/>
      <c r="P534" s="29"/>
      <c r="Q534" s="29"/>
      <c r="R534" s="29"/>
      <c r="S534" s="29"/>
    </row>
    <row r="535" spans="13:19" ht="16.5" customHeight="1" x14ac:dyDescent="0.2">
      <c r="M535" s="29"/>
      <c r="N535" s="29"/>
      <c r="O535" s="29"/>
      <c r="P535" s="29"/>
      <c r="Q535" s="29"/>
      <c r="R535" s="29"/>
      <c r="S535" s="29"/>
    </row>
    <row r="536" spans="13:19" ht="16.5" customHeight="1" x14ac:dyDescent="0.2">
      <c r="M536" s="29"/>
      <c r="N536" s="29"/>
      <c r="O536" s="29"/>
      <c r="P536" s="29"/>
      <c r="Q536" s="29"/>
      <c r="R536" s="29"/>
      <c r="S536" s="29"/>
    </row>
    <row r="537" spans="13:19" ht="16.5" customHeight="1" x14ac:dyDescent="0.2">
      <c r="M537" s="29"/>
      <c r="N537" s="29"/>
      <c r="O537" s="29"/>
      <c r="P537" s="29"/>
      <c r="Q537" s="29"/>
      <c r="R537" s="29"/>
      <c r="S537" s="29"/>
    </row>
    <row r="538" spans="13:19" ht="16.5" customHeight="1" x14ac:dyDescent="0.2">
      <c r="M538" s="29"/>
      <c r="N538" s="29"/>
      <c r="O538" s="29"/>
      <c r="P538" s="29"/>
      <c r="Q538" s="29"/>
      <c r="R538" s="29"/>
      <c r="S538" s="29"/>
    </row>
    <row r="539" spans="13:19" ht="16.5" customHeight="1" x14ac:dyDescent="0.2">
      <c r="M539" s="29"/>
      <c r="N539" s="29"/>
      <c r="O539" s="29"/>
      <c r="P539" s="29"/>
      <c r="Q539" s="29"/>
      <c r="R539" s="29"/>
      <c r="S539" s="29"/>
    </row>
    <row r="540" spans="13:19" ht="16.5" customHeight="1" x14ac:dyDescent="0.2">
      <c r="M540" s="29"/>
      <c r="N540" s="29"/>
      <c r="O540" s="29"/>
      <c r="P540" s="29"/>
      <c r="Q540" s="29"/>
      <c r="R540" s="29"/>
      <c r="S540" s="29"/>
    </row>
    <row r="541" spans="13:19" ht="16.5" customHeight="1" x14ac:dyDescent="0.2">
      <c r="M541" s="29"/>
      <c r="N541" s="29"/>
      <c r="O541" s="29"/>
      <c r="P541" s="29"/>
      <c r="Q541" s="29"/>
      <c r="R541" s="29"/>
      <c r="S541" s="29"/>
    </row>
    <row r="542" spans="13:19" ht="16.5" customHeight="1" x14ac:dyDescent="0.2">
      <c r="M542" s="29"/>
      <c r="N542" s="29"/>
      <c r="O542" s="29"/>
      <c r="P542" s="29"/>
      <c r="Q542" s="29"/>
      <c r="R542" s="29"/>
      <c r="S542" s="29"/>
    </row>
    <row r="543" spans="13:19" ht="16.5" customHeight="1" x14ac:dyDescent="0.2">
      <c r="M543" s="29"/>
      <c r="N543" s="29"/>
      <c r="O543" s="29"/>
      <c r="P543" s="29"/>
      <c r="Q543" s="29"/>
      <c r="R543" s="29"/>
      <c r="S543" s="29"/>
    </row>
    <row r="544" spans="13:19" ht="16.5" customHeight="1" x14ac:dyDescent="0.2">
      <c r="M544" s="29"/>
      <c r="N544" s="29"/>
      <c r="O544" s="29"/>
      <c r="P544" s="29"/>
      <c r="Q544" s="29"/>
      <c r="R544" s="29"/>
      <c r="S544" s="29"/>
    </row>
    <row r="545" spans="13:19" ht="16.5" customHeight="1" x14ac:dyDescent="0.2">
      <c r="M545" s="29"/>
      <c r="N545" s="29"/>
      <c r="O545" s="29"/>
      <c r="P545" s="29"/>
      <c r="Q545" s="29"/>
      <c r="R545" s="29"/>
      <c r="S545" s="29"/>
    </row>
    <row r="546" spans="13:19" ht="16.5" customHeight="1" x14ac:dyDescent="0.2">
      <c r="M546" s="29"/>
      <c r="N546" s="29"/>
      <c r="O546" s="29"/>
      <c r="P546" s="29"/>
      <c r="Q546" s="29"/>
      <c r="R546" s="29"/>
      <c r="S546" s="29"/>
    </row>
    <row r="547" spans="13:19" ht="16.5" customHeight="1" x14ac:dyDescent="0.2">
      <c r="M547" s="29"/>
      <c r="N547" s="29"/>
      <c r="O547" s="29"/>
      <c r="P547" s="29"/>
      <c r="Q547" s="29"/>
      <c r="R547" s="29"/>
      <c r="S547" s="29"/>
    </row>
    <row r="548" spans="13:19" ht="16.5" customHeight="1" x14ac:dyDescent="0.2">
      <c r="M548" s="29"/>
      <c r="N548" s="29"/>
      <c r="O548" s="29"/>
      <c r="P548" s="29"/>
      <c r="Q548" s="29"/>
      <c r="R548" s="29"/>
      <c r="S548" s="29"/>
    </row>
    <row r="549" spans="13:19" ht="16.5" customHeight="1" x14ac:dyDescent="0.2">
      <c r="M549" s="29"/>
      <c r="N549" s="29"/>
      <c r="O549" s="29"/>
      <c r="P549" s="29"/>
      <c r="Q549" s="29"/>
      <c r="R549" s="29"/>
      <c r="S549" s="29"/>
    </row>
    <row r="550" spans="13:19" ht="16.5" customHeight="1" x14ac:dyDescent="0.2">
      <c r="M550" s="29"/>
      <c r="N550" s="29"/>
      <c r="O550" s="29"/>
      <c r="P550" s="29"/>
      <c r="Q550" s="29"/>
      <c r="R550" s="29"/>
      <c r="S550" s="29"/>
    </row>
    <row r="551" spans="13:19" ht="16.5" customHeight="1" x14ac:dyDescent="0.2">
      <c r="M551" s="29"/>
      <c r="N551" s="29"/>
      <c r="O551" s="29"/>
      <c r="P551" s="29"/>
      <c r="Q551" s="29"/>
      <c r="R551" s="29"/>
      <c r="S551" s="29"/>
    </row>
    <row r="552" spans="13:19" ht="16.5" customHeight="1" x14ac:dyDescent="0.2">
      <c r="M552" s="29"/>
      <c r="N552" s="29"/>
      <c r="O552" s="29"/>
      <c r="P552" s="29"/>
      <c r="Q552" s="29"/>
      <c r="R552" s="29"/>
      <c r="S552" s="29"/>
    </row>
    <row r="553" spans="13:19" ht="16.5" customHeight="1" x14ac:dyDescent="0.2">
      <c r="M553" s="29"/>
      <c r="N553" s="29"/>
      <c r="O553" s="29"/>
      <c r="P553" s="29"/>
      <c r="Q553" s="29"/>
      <c r="R553" s="29"/>
      <c r="S553" s="29"/>
    </row>
    <row r="554" spans="13:19" ht="16.5" customHeight="1" x14ac:dyDescent="0.2">
      <c r="M554" s="29"/>
      <c r="N554" s="29"/>
      <c r="O554" s="29"/>
      <c r="P554" s="29"/>
      <c r="Q554" s="29"/>
      <c r="R554" s="29"/>
      <c r="S554" s="29"/>
    </row>
    <row r="555" spans="13:19" ht="16.5" customHeight="1" x14ac:dyDescent="0.2">
      <c r="M555" s="29"/>
      <c r="N555" s="29"/>
      <c r="O555" s="29"/>
      <c r="P555" s="29"/>
      <c r="Q555" s="29"/>
      <c r="R555" s="29"/>
      <c r="S555" s="29"/>
    </row>
    <row r="556" spans="13:19" ht="16.5" customHeight="1" x14ac:dyDescent="0.2">
      <c r="M556" s="29"/>
      <c r="N556" s="29"/>
      <c r="O556" s="29"/>
      <c r="P556" s="29"/>
      <c r="Q556" s="29"/>
      <c r="R556" s="29"/>
      <c r="S556" s="29"/>
    </row>
    <row r="557" spans="13:19" ht="16.5" customHeight="1" x14ac:dyDescent="0.2">
      <c r="M557" s="29"/>
      <c r="N557" s="29"/>
      <c r="O557" s="29"/>
      <c r="P557" s="29"/>
      <c r="Q557" s="29"/>
      <c r="R557" s="29"/>
      <c r="S557" s="29"/>
    </row>
    <row r="558" spans="13:19" ht="16.5" customHeight="1" x14ac:dyDescent="0.2">
      <c r="M558" s="29"/>
      <c r="N558" s="29"/>
      <c r="O558" s="29"/>
      <c r="P558" s="29"/>
      <c r="Q558" s="29"/>
      <c r="R558" s="29"/>
      <c r="S558" s="29"/>
    </row>
    <row r="559" spans="13:19" ht="16.5" customHeight="1" x14ac:dyDescent="0.2">
      <c r="M559" s="29"/>
      <c r="N559" s="29"/>
      <c r="O559" s="29"/>
      <c r="P559" s="29"/>
      <c r="Q559" s="29"/>
      <c r="R559" s="29"/>
      <c r="S559" s="29"/>
    </row>
    <row r="560" spans="13:19" ht="16.5" customHeight="1" x14ac:dyDescent="0.2">
      <c r="M560" s="29"/>
      <c r="N560" s="29"/>
      <c r="O560" s="29"/>
      <c r="P560" s="29"/>
      <c r="Q560" s="29"/>
      <c r="R560" s="29"/>
      <c r="S560" s="29"/>
    </row>
    <row r="561" spans="13:19" ht="16.5" customHeight="1" x14ac:dyDescent="0.2">
      <c r="M561" s="29"/>
      <c r="N561" s="29"/>
      <c r="O561" s="29"/>
      <c r="P561" s="29"/>
      <c r="Q561" s="29"/>
      <c r="R561" s="29"/>
      <c r="S561" s="29"/>
    </row>
    <row r="562" spans="13:19" ht="16.5" customHeight="1" x14ac:dyDescent="0.2">
      <c r="M562" s="29"/>
      <c r="N562" s="29"/>
      <c r="O562" s="29"/>
      <c r="P562" s="29"/>
      <c r="Q562" s="29"/>
      <c r="R562" s="29"/>
      <c r="S562" s="29"/>
    </row>
    <row r="563" spans="13:19" ht="16.5" customHeight="1" x14ac:dyDescent="0.2">
      <c r="M563" s="29"/>
      <c r="N563" s="29"/>
      <c r="O563" s="29"/>
      <c r="P563" s="29"/>
      <c r="Q563" s="29"/>
      <c r="R563" s="29"/>
      <c r="S563" s="29"/>
    </row>
    <row r="564" spans="13:19" ht="16.5" customHeight="1" x14ac:dyDescent="0.2">
      <c r="M564" s="29"/>
      <c r="N564" s="29"/>
      <c r="O564" s="29"/>
      <c r="P564" s="29"/>
      <c r="Q564" s="29"/>
      <c r="R564" s="29"/>
      <c r="S564" s="29"/>
    </row>
    <row r="565" spans="13:19" ht="16.5" customHeight="1" x14ac:dyDescent="0.2">
      <c r="M565" s="29"/>
      <c r="N565" s="29"/>
      <c r="O565" s="29"/>
      <c r="P565" s="29"/>
      <c r="Q565" s="29"/>
      <c r="R565" s="29"/>
      <c r="S565" s="29"/>
    </row>
    <row r="566" spans="13:19" ht="16.5" customHeight="1" x14ac:dyDescent="0.2">
      <c r="M566" s="29"/>
      <c r="N566" s="29"/>
      <c r="O566" s="29"/>
      <c r="P566" s="29"/>
      <c r="Q566" s="29"/>
      <c r="R566" s="29"/>
      <c r="S566" s="29"/>
    </row>
    <row r="567" spans="13:19" ht="16.5" customHeight="1" x14ac:dyDescent="0.2">
      <c r="M567" s="29"/>
      <c r="N567" s="29"/>
      <c r="O567" s="29"/>
      <c r="P567" s="29"/>
      <c r="Q567" s="29"/>
      <c r="R567" s="29"/>
      <c r="S567" s="29"/>
    </row>
    <row r="568" spans="13:19" ht="16.5" customHeight="1" x14ac:dyDescent="0.2">
      <c r="M568" s="29"/>
      <c r="N568" s="29"/>
      <c r="O568" s="29"/>
      <c r="P568" s="29"/>
      <c r="Q568" s="29"/>
      <c r="R568" s="29"/>
      <c r="S568" s="29"/>
    </row>
    <row r="569" spans="13:19" ht="16.5" customHeight="1" x14ac:dyDescent="0.2">
      <c r="M569" s="29"/>
      <c r="N569" s="29"/>
      <c r="O569" s="29"/>
      <c r="P569" s="29"/>
      <c r="Q569" s="29"/>
      <c r="R569" s="29"/>
      <c r="S569" s="29"/>
    </row>
    <row r="570" spans="13:19" ht="16.5" customHeight="1" x14ac:dyDescent="0.2">
      <c r="M570" s="29"/>
      <c r="N570" s="29"/>
      <c r="O570" s="29"/>
      <c r="P570" s="29"/>
      <c r="Q570" s="29"/>
      <c r="R570" s="29"/>
      <c r="S570" s="29"/>
    </row>
    <row r="571" spans="13:19" ht="16.5" customHeight="1" x14ac:dyDescent="0.2">
      <c r="M571" s="29"/>
      <c r="N571" s="29"/>
      <c r="O571" s="29"/>
      <c r="P571" s="29"/>
      <c r="Q571" s="29"/>
      <c r="R571" s="29"/>
      <c r="S571" s="29"/>
    </row>
    <row r="572" spans="13:19" ht="16.5" customHeight="1" x14ac:dyDescent="0.2">
      <c r="M572" s="29"/>
      <c r="N572" s="29"/>
      <c r="O572" s="29"/>
      <c r="P572" s="29"/>
      <c r="Q572" s="29"/>
      <c r="R572" s="29"/>
      <c r="S572" s="29"/>
    </row>
    <row r="573" spans="13:19" ht="16.5" customHeight="1" x14ac:dyDescent="0.2">
      <c r="M573" s="29"/>
      <c r="N573" s="29"/>
      <c r="O573" s="29"/>
      <c r="P573" s="29"/>
      <c r="Q573" s="29"/>
      <c r="R573" s="29"/>
      <c r="S573" s="29"/>
    </row>
    <row r="574" spans="13:19" ht="16.5" customHeight="1" x14ac:dyDescent="0.2">
      <c r="M574" s="29"/>
      <c r="N574" s="29"/>
      <c r="O574" s="29"/>
      <c r="P574" s="29"/>
      <c r="Q574" s="29"/>
      <c r="R574" s="29"/>
      <c r="S574" s="29"/>
    </row>
    <row r="575" spans="13:19" ht="16.5" customHeight="1" x14ac:dyDescent="0.2">
      <c r="M575" s="29"/>
      <c r="N575" s="29"/>
      <c r="O575" s="29"/>
      <c r="P575" s="29"/>
      <c r="Q575" s="29"/>
      <c r="R575" s="29"/>
      <c r="S575" s="29"/>
    </row>
    <row r="576" spans="13:19" ht="16.5" customHeight="1" x14ac:dyDescent="0.2">
      <c r="M576" s="29"/>
      <c r="N576" s="29"/>
      <c r="O576" s="29"/>
      <c r="P576" s="29"/>
      <c r="Q576" s="29"/>
      <c r="R576" s="29"/>
      <c r="S576" s="29"/>
    </row>
    <row r="577" spans="13:19" ht="16.5" customHeight="1" x14ac:dyDescent="0.2">
      <c r="M577" s="29"/>
      <c r="N577" s="29"/>
      <c r="O577" s="29"/>
      <c r="P577" s="29"/>
      <c r="Q577" s="29"/>
      <c r="R577" s="29"/>
      <c r="S577" s="29"/>
    </row>
    <row r="578" spans="13:19" ht="16.5" customHeight="1" x14ac:dyDescent="0.2">
      <c r="M578" s="29"/>
      <c r="N578" s="29"/>
      <c r="O578" s="29"/>
      <c r="P578" s="29"/>
      <c r="Q578" s="29"/>
      <c r="R578" s="29"/>
      <c r="S578" s="29"/>
    </row>
    <row r="579" spans="13:19" ht="16.5" customHeight="1" x14ac:dyDescent="0.2">
      <c r="M579" s="29"/>
      <c r="N579" s="29"/>
      <c r="O579" s="29"/>
      <c r="P579" s="29"/>
      <c r="Q579" s="29"/>
      <c r="R579" s="29"/>
      <c r="S579" s="29"/>
    </row>
    <row r="580" spans="13:19" ht="16.5" customHeight="1" x14ac:dyDescent="0.2">
      <c r="M580" s="29"/>
      <c r="N580" s="29"/>
      <c r="O580" s="29"/>
      <c r="P580" s="29"/>
      <c r="Q580" s="29"/>
      <c r="R580" s="29"/>
      <c r="S580" s="29"/>
    </row>
    <row r="581" spans="13:19" ht="16.5" customHeight="1" x14ac:dyDescent="0.2">
      <c r="M581" s="29"/>
      <c r="N581" s="29"/>
      <c r="O581" s="29"/>
      <c r="P581" s="29"/>
      <c r="Q581" s="29"/>
      <c r="R581" s="29"/>
      <c r="S581" s="29"/>
    </row>
    <row r="582" spans="13:19" ht="16.5" customHeight="1" x14ac:dyDescent="0.2">
      <c r="M582" s="29"/>
      <c r="N582" s="29"/>
      <c r="O582" s="29"/>
      <c r="P582" s="29"/>
      <c r="Q582" s="29"/>
      <c r="R582" s="29"/>
      <c r="S582" s="29"/>
    </row>
    <row r="583" spans="13:19" ht="16.5" customHeight="1" x14ac:dyDescent="0.2">
      <c r="M583" s="29"/>
      <c r="N583" s="29"/>
      <c r="O583" s="29"/>
      <c r="P583" s="29"/>
      <c r="Q583" s="29"/>
      <c r="R583" s="29"/>
      <c r="S583" s="29"/>
    </row>
    <row r="584" spans="13:19" ht="16.5" customHeight="1" x14ac:dyDescent="0.2">
      <c r="M584" s="29"/>
      <c r="N584" s="29"/>
      <c r="O584" s="29"/>
      <c r="P584" s="29"/>
      <c r="Q584" s="29"/>
      <c r="R584" s="29"/>
      <c r="S584" s="29"/>
    </row>
    <row r="585" spans="13:19" ht="16.5" customHeight="1" x14ac:dyDescent="0.2">
      <c r="M585" s="29"/>
      <c r="N585" s="29"/>
      <c r="O585" s="29"/>
      <c r="P585" s="29"/>
      <c r="Q585" s="29"/>
      <c r="R585" s="29"/>
      <c r="S585" s="29"/>
    </row>
    <row r="586" spans="13:19" ht="16.5" customHeight="1" x14ac:dyDescent="0.2">
      <c r="M586" s="29"/>
      <c r="N586" s="29"/>
      <c r="O586" s="29"/>
      <c r="P586" s="29"/>
      <c r="Q586" s="29"/>
      <c r="R586" s="29"/>
      <c r="S586" s="29"/>
    </row>
    <row r="587" spans="13:19" ht="16.5" customHeight="1" x14ac:dyDescent="0.2">
      <c r="M587" s="29"/>
      <c r="N587" s="29"/>
      <c r="O587" s="29"/>
      <c r="P587" s="29"/>
      <c r="Q587" s="29"/>
      <c r="R587" s="29"/>
      <c r="S587" s="29"/>
    </row>
    <row r="588" spans="13:19" ht="16.5" customHeight="1" x14ac:dyDescent="0.2">
      <c r="M588" s="29"/>
      <c r="N588" s="29"/>
      <c r="O588" s="29"/>
      <c r="P588" s="29"/>
      <c r="Q588" s="29"/>
      <c r="R588" s="29"/>
      <c r="S588" s="29"/>
    </row>
    <row r="589" spans="13:19" ht="16.5" customHeight="1" x14ac:dyDescent="0.2">
      <c r="M589" s="29"/>
      <c r="N589" s="29"/>
      <c r="O589" s="29"/>
      <c r="P589" s="29"/>
      <c r="Q589" s="29"/>
      <c r="R589" s="29"/>
      <c r="S589" s="29"/>
    </row>
    <row r="590" spans="13:19" ht="16.5" customHeight="1" x14ac:dyDescent="0.2">
      <c r="M590" s="29"/>
      <c r="N590" s="29"/>
      <c r="O590" s="29"/>
      <c r="P590" s="29"/>
      <c r="Q590" s="29"/>
      <c r="R590" s="29"/>
      <c r="S590" s="29"/>
    </row>
    <row r="591" spans="13:19" ht="16.5" customHeight="1" x14ac:dyDescent="0.2">
      <c r="M591" s="29"/>
      <c r="N591" s="29"/>
      <c r="O591" s="29"/>
      <c r="P591" s="29"/>
      <c r="Q591" s="29"/>
      <c r="R591" s="29"/>
      <c r="S591" s="29"/>
    </row>
    <row r="592" spans="13:19" ht="16.5" customHeight="1" x14ac:dyDescent="0.2">
      <c r="M592" s="29"/>
      <c r="N592" s="29"/>
      <c r="O592" s="29"/>
      <c r="P592" s="29"/>
      <c r="Q592" s="29"/>
      <c r="R592" s="29"/>
      <c r="S592" s="29"/>
    </row>
    <row r="593" spans="13:19" ht="16.5" customHeight="1" x14ac:dyDescent="0.2">
      <c r="M593" s="29"/>
      <c r="N593" s="29"/>
      <c r="O593" s="29"/>
      <c r="P593" s="29"/>
      <c r="Q593" s="29"/>
      <c r="R593" s="29"/>
      <c r="S593" s="29"/>
    </row>
    <row r="594" spans="13:19" ht="16.5" customHeight="1" x14ac:dyDescent="0.2">
      <c r="M594" s="29"/>
      <c r="N594" s="29"/>
      <c r="O594" s="29"/>
      <c r="P594" s="29"/>
      <c r="Q594" s="29"/>
      <c r="R594" s="29"/>
      <c r="S594" s="29"/>
    </row>
    <row r="595" spans="13:19" ht="16.5" customHeight="1" x14ac:dyDescent="0.2">
      <c r="M595" s="29"/>
      <c r="N595" s="29"/>
      <c r="O595" s="29"/>
      <c r="P595" s="29"/>
      <c r="Q595" s="29"/>
      <c r="R595" s="29"/>
      <c r="S595" s="29"/>
    </row>
    <row r="596" spans="13:19" ht="16.5" customHeight="1" x14ac:dyDescent="0.2">
      <c r="M596" s="29"/>
      <c r="N596" s="29"/>
      <c r="O596" s="29"/>
      <c r="P596" s="29"/>
      <c r="Q596" s="29"/>
      <c r="R596" s="29"/>
      <c r="S596" s="29"/>
    </row>
    <row r="597" spans="13:19" ht="16.5" customHeight="1" x14ac:dyDescent="0.2">
      <c r="M597" s="29"/>
      <c r="N597" s="29"/>
      <c r="O597" s="29"/>
      <c r="P597" s="29"/>
      <c r="Q597" s="29"/>
      <c r="R597" s="29"/>
      <c r="S597" s="29"/>
    </row>
    <row r="598" spans="13:19" ht="16.5" customHeight="1" x14ac:dyDescent="0.2">
      <c r="M598" s="29"/>
      <c r="N598" s="29"/>
      <c r="O598" s="29"/>
      <c r="P598" s="29"/>
      <c r="Q598" s="29"/>
      <c r="R598" s="29"/>
      <c r="S598" s="29"/>
    </row>
    <row r="599" spans="13:19" ht="16.5" customHeight="1" x14ac:dyDescent="0.2">
      <c r="M599" s="29"/>
      <c r="N599" s="29"/>
      <c r="O599" s="29"/>
      <c r="P599" s="29"/>
      <c r="Q599" s="29"/>
      <c r="R599" s="29"/>
      <c r="S599" s="29"/>
    </row>
    <row r="600" spans="13:19" ht="16.5" customHeight="1" x14ac:dyDescent="0.2">
      <c r="M600" s="29"/>
      <c r="N600" s="29"/>
      <c r="O600" s="29"/>
      <c r="P600" s="29"/>
      <c r="Q600" s="29"/>
      <c r="R600" s="29"/>
      <c r="S600" s="29"/>
    </row>
    <row r="601" spans="13:19" ht="16.5" customHeight="1" x14ac:dyDescent="0.2">
      <c r="M601" s="29"/>
      <c r="N601" s="29"/>
      <c r="O601" s="29"/>
      <c r="P601" s="29"/>
      <c r="Q601" s="29"/>
      <c r="R601" s="29"/>
      <c r="S601" s="29"/>
    </row>
    <row r="602" spans="13:19" ht="16.5" customHeight="1" x14ac:dyDescent="0.2">
      <c r="M602" s="29"/>
      <c r="N602" s="29"/>
      <c r="O602" s="29"/>
      <c r="P602" s="29"/>
      <c r="Q602" s="29"/>
      <c r="R602" s="29"/>
      <c r="S602" s="29"/>
    </row>
    <row r="603" spans="13:19" ht="16.5" customHeight="1" x14ac:dyDescent="0.2">
      <c r="M603" s="29"/>
      <c r="N603" s="29"/>
      <c r="O603" s="29"/>
      <c r="P603" s="29"/>
      <c r="Q603" s="29"/>
      <c r="R603" s="29"/>
      <c r="S603" s="29"/>
    </row>
    <row r="604" spans="13:19" ht="16.5" customHeight="1" x14ac:dyDescent="0.2">
      <c r="M604" s="29"/>
      <c r="N604" s="29"/>
      <c r="O604" s="29"/>
      <c r="P604" s="29"/>
      <c r="Q604" s="29"/>
      <c r="R604" s="29"/>
      <c r="S604" s="29"/>
    </row>
    <row r="605" spans="13:19" ht="16.5" customHeight="1" x14ac:dyDescent="0.2">
      <c r="M605" s="29"/>
      <c r="N605" s="29"/>
      <c r="O605" s="29"/>
      <c r="P605" s="29"/>
      <c r="Q605" s="29"/>
      <c r="R605" s="29"/>
      <c r="S605" s="29"/>
    </row>
    <row r="606" spans="13:19" ht="16.5" customHeight="1" x14ac:dyDescent="0.2">
      <c r="M606" s="29"/>
      <c r="N606" s="29"/>
      <c r="O606" s="29"/>
      <c r="P606" s="29"/>
      <c r="Q606" s="29"/>
      <c r="R606" s="29"/>
      <c r="S606" s="29"/>
    </row>
    <row r="607" spans="13:19" ht="16.5" customHeight="1" x14ac:dyDescent="0.2">
      <c r="M607" s="29"/>
      <c r="N607" s="29"/>
      <c r="O607" s="29"/>
      <c r="P607" s="29"/>
      <c r="Q607" s="29"/>
      <c r="R607" s="29"/>
      <c r="S607" s="29"/>
    </row>
    <row r="608" spans="13:19" ht="16.5" customHeight="1" x14ac:dyDescent="0.2">
      <c r="M608" s="29"/>
      <c r="N608" s="29"/>
      <c r="O608" s="29"/>
      <c r="P608" s="29"/>
      <c r="Q608" s="29"/>
      <c r="R608" s="29"/>
      <c r="S608" s="29"/>
    </row>
    <row r="609" spans="13:19" ht="16.5" customHeight="1" x14ac:dyDescent="0.2">
      <c r="M609" s="29"/>
      <c r="N609" s="29"/>
      <c r="O609" s="29"/>
      <c r="P609" s="29"/>
      <c r="Q609" s="29"/>
      <c r="R609" s="29"/>
      <c r="S609" s="29"/>
    </row>
    <row r="610" spans="13:19" ht="16.5" customHeight="1" x14ac:dyDescent="0.2">
      <c r="M610" s="29"/>
      <c r="N610" s="29"/>
      <c r="O610" s="29"/>
      <c r="P610" s="29"/>
      <c r="Q610" s="29"/>
      <c r="R610" s="29"/>
      <c r="S610" s="29"/>
    </row>
    <row r="611" spans="13:19" ht="16.5" customHeight="1" x14ac:dyDescent="0.2">
      <c r="M611" s="29"/>
      <c r="N611" s="29"/>
      <c r="O611" s="29"/>
      <c r="P611" s="29"/>
      <c r="Q611" s="29"/>
      <c r="R611" s="29"/>
      <c r="S611" s="29"/>
    </row>
    <row r="612" spans="13:19" ht="16.5" customHeight="1" x14ac:dyDescent="0.2">
      <c r="M612" s="29"/>
      <c r="N612" s="29"/>
      <c r="O612" s="29"/>
      <c r="P612" s="29"/>
      <c r="Q612" s="29"/>
      <c r="R612" s="29"/>
      <c r="S612" s="29"/>
    </row>
    <row r="613" spans="13:19" ht="16.5" customHeight="1" x14ac:dyDescent="0.2">
      <c r="M613" s="29"/>
      <c r="N613" s="29"/>
      <c r="O613" s="29"/>
      <c r="P613" s="29"/>
      <c r="Q613" s="29"/>
      <c r="R613" s="29"/>
      <c r="S613" s="29"/>
    </row>
    <row r="614" spans="13:19" ht="16.5" customHeight="1" x14ac:dyDescent="0.2">
      <c r="M614" s="29"/>
      <c r="N614" s="29"/>
      <c r="O614" s="29"/>
      <c r="P614" s="29"/>
      <c r="Q614" s="29"/>
      <c r="R614" s="29"/>
      <c r="S614" s="29"/>
    </row>
    <row r="615" spans="13:19" ht="16.5" customHeight="1" x14ac:dyDescent="0.2">
      <c r="M615" s="29"/>
      <c r="N615" s="29"/>
      <c r="O615" s="29"/>
      <c r="P615" s="29"/>
      <c r="Q615" s="29"/>
      <c r="R615" s="29"/>
      <c r="S615" s="29"/>
    </row>
    <row r="616" spans="13:19" ht="16.5" customHeight="1" x14ac:dyDescent="0.2">
      <c r="M616" s="29"/>
      <c r="N616" s="29"/>
      <c r="O616" s="29"/>
      <c r="P616" s="29"/>
      <c r="Q616" s="29"/>
      <c r="R616" s="29"/>
      <c r="S616" s="29"/>
    </row>
    <row r="617" spans="13:19" ht="16.5" customHeight="1" x14ac:dyDescent="0.2">
      <c r="M617" s="29"/>
      <c r="N617" s="29"/>
      <c r="O617" s="29"/>
      <c r="P617" s="29"/>
      <c r="Q617" s="29"/>
      <c r="R617" s="29"/>
      <c r="S617" s="29"/>
    </row>
    <row r="618" spans="13:19" ht="16.5" customHeight="1" x14ac:dyDescent="0.2">
      <c r="M618" s="29"/>
      <c r="N618" s="29"/>
      <c r="O618" s="29"/>
      <c r="P618" s="29"/>
      <c r="Q618" s="29"/>
      <c r="R618" s="29"/>
      <c r="S618" s="29"/>
    </row>
    <row r="619" spans="13:19" ht="16.5" customHeight="1" x14ac:dyDescent="0.2">
      <c r="M619" s="29"/>
      <c r="N619" s="29"/>
      <c r="O619" s="29"/>
      <c r="P619" s="29"/>
      <c r="Q619" s="29"/>
      <c r="R619" s="29"/>
      <c r="S619" s="29"/>
    </row>
    <row r="620" spans="13:19" ht="16.5" customHeight="1" x14ac:dyDescent="0.2">
      <c r="M620" s="29"/>
      <c r="N620" s="29"/>
      <c r="O620" s="29"/>
      <c r="P620" s="29"/>
      <c r="Q620" s="29"/>
      <c r="R620" s="29"/>
      <c r="S620" s="29"/>
    </row>
    <row r="621" spans="13:19" ht="16.5" customHeight="1" x14ac:dyDescent="0.2">
      <c r="M621" s="29"/>
      <c r="N621" s="29"/>
      <c r="O621" s="29"/>
      <c r="P621" s="29"/>
      <c r="Q621" s="29"/>
      <c r="R621" s="29"/>
      <c r="S621" s="29"/>
    </row>
    <row r="622" spans="13:19" ht="16.5" customHeight="1" x14ac:dyDescent="0.2">
      <c r="M622" s="29"/>
      <c r="N622" s="29"/>
      <c r="O622" s="29"/>
      <c r="P622" s="29"/>
      <c r="Q622" s="29"/>
      <c r="R622" s="29"/>
      <c r="S622" s="29"/>
    </row>
    <row r="623" spans="13:19" ht="16.5" customHeight="1" x14ac:dyDescent="0.2">
      <c r="M623" s="29"/>
      <c r="N623" s="29"/>
      <c r="O623" s="29"/>
      <c r="P623" s="29"/>
      <c r="Q623" s="29"/>
      <c r="R623" s="29"/>
      <c r="S623" s="29"/>
    </row>
    <row r="624" spans="13:19" ht="16.5" customHeight="1" x14ac:dyDescent="0.2">
      <c r="M624" s="29"/>
      <c r="N624" s="29"/>
      <c r="O624" s="29"/>
      <c r="P624" s="29"/>
      <c r="Q624" s="29"/>
      <c r="R624" s="29"/>
      <c r="S624" s="29"/>
    </row>
    <row r="625" spans="13:19" ht="16.5" customHeight="1" x14ac:dyDescent="0.2">
      <c r="M625" s="29"/>
      <c r="N625" s="29"/>
      <c r="O625" s="29"/>
      <c r="P625" s="29"/>
      <c r="Q625" s="29"/>
      <c r="R625" s="29"/>
      <c r="S625" s="29"/>
    </row>
    <row r="626" spans="13:19" ht="16.5" customHeight="1" x14ac:dyDescent="0.2">
      <c r="M626" s="29"/>
      <c r="N626" s="29"/>
      <c r="O626" s="29"/>
      <c r="P626" s="29"/>
      <c r="Q626" s="29"/>
      <c r="R626" s="29"/>
      <c r="S626" s="29"/>
    </row>
    <row r="627" spans="13:19" ht="16.5" customHeight="1" x14ac:dyDescent="0.2">
      <c r="M627" s="29"/>
      <c r="N627" s="29"/>
      <c r="O627" s="29"/>
      <c r="P627" s="29"/>
      <c r="Q627" s="29"/>
      <c r="R627" s="29"/>
      <c r="S627" s="29"/>
    </row>
    <row r="628" spans="13:19" ht="16.5" customHeight="1" x14ac:dyDescent="0.2">
      <c r="M628" s="29"/>
      <c r="N628" s="29"/>
      <c r="O628" s="29"/>
      <c r="P628" s="29"/>
      <c r="Q628" s="29"/>
      <c r="R628" s="29"/>
      <c r="S628" s="29"/>
    </row>
    <row r="629" spans="13:19" ht="16.5" customHeight="1" x14ac:dyDescent="0.2">
      <c r="M629" s="29"/>
      <c r="N629" s="29"/>
      <c r="O629" s="29"/>
      <c r="P629" s="29"/>
      <c r="Q629" s="29"/>
      <c r="R629" s="29"/>
      <c r="S629" s="29"/>
    </row>
    <row r="630" spans="13:19" ht="16.5" customHeight="1" x14ac:dyDescent="0.2">
      <c r="M630" s="29"/>
      <c r="N630" s="29"/>
      <c r="O630" s="29"/>
      <c r="P630" s="29"/>
      <c r="Q630" s="29"/>
      <c r="R630" s="29"/>
      <c r="S630" s="29"/>
    </row>
    <row r="631" spans="13:19" ht="16.5" customHeight="1" x14ac:dyDescent="0.2">
      <c r="M631" s="29"/>
      <c r="N631" s="29"/>
      <c r="O631" s="29"/>
      <c r="P631" s="29"/>
      <c r="Q631" s="29"/>
      <c r="R631" s="29"/>
      <c r="S631" s="29"/>
    </row>
    <row r="632" spans="13:19" ht="16.5" customHeight="1" x14ac:dyDescent="0.2">
      <c r="M632" s="29"/>
      <c r="N632" s="29"/>
      <c r="O632" s="29"/>
      <c r="P632" s="29"/>
      <c r="Q632" s="29"/>
      <c r="R632" s="29"/>
      <c r="S632" s="29"/>
    </row>
    <row r="633" spans="13:19" ht="16.5" customHeight="1" x14ac:dyDescent="0.2">
      <c r="M633" s="29"/>
      <c r="N633" s="29"/>
      <c r="O633" s="29"/>
      <c r="P633" s="29"/>
      <c r="Q633" s="29"/>
      <c r="R633" s="29"/>
      <c r="S633" s="29"/>
    </row>
    <row r="634" spans="13:19" ht="16.5" customHeight="1" x14ac:dyDescent="0.2">
      <c r="M634" s="29"/>
      <c r="N634" s="29"/>
      <c r="O634" s="29"/>
      <c r="P634" s="29"/>
      <c r="Q634" s="29"/>
      <c r="R634" s="29"/>
      <c r="S634" s="29"/>
    </row>
    <row r="635" spans="13:19" ht="16.5" customHeight="1" x14ac:dyDescent="0.2">
      <c r="M635" s="29"/>
      <c r="N635" s="29"/>
      <c r="O635" s="29"/>
      <c r="P635" s="29"/>
      <c r="Q635" s="29"/>
      <c r="R635" s="29"/>
      <c r="S635" s="29"/>
    </row>
    <row r="636" spans="13:19" ht="16.5" customHeight="1" x14ac:dyDescent="0.2">
      <c r="M636" s="29"/>
      <c r="N636" s="29"/>
      <c r="O636" s="29"/>
      <c r="P636" s="29"/>
      <c r="Q636" s="29"/>
      <c r="R636" s="29"/>
      <c r="S636" s="29"/>
    </row>
    <row r="637" spans="13:19" ht="16.5" customHeight="1" x14ac:dyDescent="0.2">
      <c r="M637" s="29"/>
      <c r="N637" s="29"/>
      <c r="O637" s="29"/>
      <c r="P637" s="29"/>
      <c r="Q637" s="29"/>
      <c r="R637" s="29"/>
      <c r="S637" s="29"/>
    </row>
    <row r="638" spans="13:19" ht="16.5" customHeight="1" x14ac:dyDescent="0.2">
      <c r="M638" s="29"/>
      <c r="N638" s="29"/>
      <c r="O638" s="29"/>
      <c r="P638" s="29"/>
      <c r="Q638" s="29"/>
      <c r="R638" s="29"/>
      <c r="S638" s="29"/>
    </row>
    <row r="639" spans="13:19" ht="16.5" customHeight="1" x14ac:dyDescent="0.2">
      <c r="M639" s="29"/>
      <c r="N639" s="29"/>
      <c r="O639" s="29"/>
      <c r="P639" s="29"/>
      <c r="Q639" s="29"/>
      <c r="R639" s="29"/>
      <c r="S639" s="29"/>
    </row>
    <row r="640" spans="13:19" ht="16.5" customHeight="1" x14ac:dyDescent="0.2">
      <c r="M640" s="29"/>
      <c r="N640" s="29"/>
      <c r="O640" s="29"/>
      <c r="P640" s="29"/>
      <c r="Q640" s="29"/>
      <c r="R640" s="29"/>
      <c r="S640" s="29"/>
    </row>
    <row r="641" spans="13:19" ht="16.5" customHeight="1" x14ac:dyDescent="0.2">
      <c r="M641" s="29"/>
      <c r="N641" s="29"/>
      <c r="O641" s="29"/>
      <c r="P641" s="29"/>
      <c r="Q641" s="29"/>
      <c r="R641" s="29"/>
      <c r="S641" s="29"/>
    </row>
    <row r="642" spans="13:19" ht="16.5" customHeight="1" x14ac:dyDescent="0.2">
      <c r="M642" s="29"/>
      <c r="N642" s="29"/>
      <c r="O642" s="29"/>
      <c r="P642" s="29"/>
      <c r="Q642" s="29"/>
      <c r="R642" s="29"/>
      <c r="S642" s="29"/>
    </row>
    <row r="643" spans="13:19" ht="16.5" customHeight="1" x14ac:dyDescent="0.2">
      <c r="M643" s="29"/>
      <c r="N643" s="29"/>
      <c r="O643" s="29"/>
      <c r="P643" s="29"/>
      <c r="Q643" s="29"/>
      <c r="R643" s="29"/>
      <c r="S643" s="29"/>
    </row>
    <row r="644" spans="13:19" ht="16.5" customHeight="1" x14ac:dyDescent="0.2">
      <c r="M644" s="29"/>
      <c r="N644" s="29"/>
      <c r="O644" s="29"/>
      <c r="P644" s="29"/>
      <c r="Q644" s="29"/>
      <c r="R644" s="29"/>
      <c r="S644" s="29"/>
    </row>
    <row r="645" spans="13:19" ht="16.5" customHeight="1" x14ac:dyDescent="0.2">
      <c r="M645" s="29"/>
      <c r="N645" s="29"/>
      <c r="O645" s="29"/>
      <c r="P645" s="29"/>
      <c r="Q645" s="29"/>
      <c r="R645" s="29"/>
      <c r="S645" s="29"/>
    </row>
    <row r="646" spans="13:19" ht="16.5" customHeight="1" x14ac:dyDescent="0.2">
      <c r="M646" s="29"/>
      <c r="N646" s="29"/>
      <c r="O646" s="29"/>
      <c r="P646" s="29"/>
      <c r="Q646" s="29"/>
      <c r="R646" s="29"/>
      <c r="S646" s="29"/>
    </row>
    <row r="647" spans="13:19" ht="16.5" customHeight="1" x14ac:dyDescent="0.2">
      <c r="M647" s="29"/>
      <c r="N647" s="29"/>
      <c r="O647" s="29"/>
      <c r="P647" s="29"/>
      <c r="Q647" s="29"/>
      <c r="R647" s="29"/>
      <c r="S647" s="29"/>
    </row>
    <row r="648" spans="13:19" ht="16.5" customHeight="1" x14ac:dyDescent="0.2">
      <c r="M648" s="29"/>
      <c r="N648" s="29"/>
      <c r="O648" s="29"/>
      <c r="P648" s="29"/>
      <c r="Q648" s="29"/>
      <c r="R648" s="29"/>
      <c r="S648" s="29"/>
    </row>
    <row r="649" spans="13:19" ht="16.5" customHeight="1" x14ac:dyDescent="0.2">
      <c r="M649" s="29"/>
      <c r="N649" s="29"/>
      <c r="O649" s="29"/>
      <c r="P649" s="29"/>
      <c r="Q649" s="29"/>
      <c r="R649" s="29"/>
      <c r="S649" s="29"/>
    </row>
    <row r="650" spans="13:19" ht="16.5" customHeight="1" x14ac:dyDescent="0.2">
      <c r="M650" s="29"/>
      <c r="N650" s="29"/>
      <c r="O650" s="29"/>
      <c r="P650" s="29"/>
      <c r="Q650" s="29"/>
      <c r="R650" s="29"/>
      <c r="S650" s="29"/>
    </row>
    <row r="651" spans="13:19" ht="16.5" customHeight="1" x14ac:dyDescent="0.2">
      <c r="M651" s="29"/>
      <c r="N651" s="29"/>
      <c r="O651" s="29"/>
      <c r="P651" s="29"/>
      <c r="Q651" s="29"/>
      <c r="R651" s="29"/>
      <c r="S651" s="29"/>
    </row>
    <row r="652" spans="13:19" ht="16.5" customHeight="1" x14ac:dyDescent="0.2">
      <c r="M652" s="29"/>
      <c r="N652" s="29"/>
      <c r="O652" s="29"/>
      <c r="P652" s="29"/>
      <c r="Q652" s="29"/>
      <c r="R652" s="29"/>
      <c r="S652" s="29"/>
    </row>
    <row r="653" spans="13:19" ht="16.5" customHeight="1" x14ac:dyDescent="0.2">
      <c r="M653" s="29"/>
      <c r="N653" s="29"/>
      <c r="O653" s="29"/>
      <c r="P653" s="29"/>
      <c r="Q653" s="29"/>
      <c r="R653" s="29"/>
      <c r="S653" s="29"/>
    </row>
    <row r="654" spans="13:19" ht="16.5" customHeight="1" x14ac:dyDescent="0.2">
      <c r="M654" s="29"/>
      <c r="N654" s="29"/>
      <c r="O654" s="29"/>
      <c r="P654" s="29"/>
      <c r="Q654" s="29"/>
      <c r="R654" s="29"/>
      <c r="S654" s="29"/>
    </row>
    <row r="655" spans="13:19" ht="16.5" customHeight="1" x14ac:dyDescent="0.2">
      <c r="M655" s="29"/>
      <c r="N655" s="29"/>
      <c r="O655" s="29"/>
      <c r="P655" s="29"/>
      <c r="Q655" s="29"/>
      <c r="R655" s="29"/>
      <c r="S655" s="29"/>
    </row>
    <row r="656" spans="13:19" ht="16.5" customHeight="1" x14ac:dyDescent="0.2">
      <c r="M656" s="29"/>
      <c r="N656" s="29"/>
      <c r="O656" s="29"/>
      <c r="P656" s="29"/>
      <c r="Q656" s="29"/>
      <c r="R656" s="29"/>
      <c r="S656" s="29"/>
    </row>
    <row r="657" spans="13:19" ht="16.5" customHeight="1" x14ac:dyDescent="0.2">
      <c r="M657" s="29"/>
      <c r="N657" s="29"/>
      <c r="O657" s="29"/>
      <c r="P657" s="29"/>
      <c r="Q657" s="29"/>
      <c r="R657" s="29"/>
      <c r="S657" s="29"/>
    </row>
    <row r="658" spans="13:19" ht="16.5" customHeight="1" x14ac:dyDescent="0.2">
      <c r="M658" s="29"/>
      <c r="N658" s="29"/>
      <c r="O658" s="29"/>
      <c r="P658" s="29"/>
      <c r="Q658" s="29"/>
      <c r="R658" s="29"/>
      <c r="S658" s="29"/>
    </row>
    <row r="659" spans="13:19" ht="16.5" customHeight="1" x14ac:dyDescent="0.2">
      <c r="M659" s="29"/>
      <c r="N659" s="29"/>
      <c r="O659" s="29"/>
      <c r="P659" s="29"/>
      <c r="Q659" s="29"/>
      <c r="R659" s="29"/>
      <c r="S659" s="29"/>
    </row>
    <row r="660" spans="13:19" ht="16.5" customHeight="1" x14ac:dyDescent="0.2">
      <c r="M660" s="29"/>
      <c r="N660" s="29"/>
      <c r="O660" s="29"/>
      <c r="P660" s="29"/>
      <c r="Q660" s="29"/>
      <c r="R660" s="29"/>
      <c r="S660" s="29"/>
    </row>
    <row r="661" spans="13:19" ht="16.5" customHeight="1" x14ac:dyDescent="0.2">
      <c r="M661" s="29"/>
      <c r="N661" s="29"/>
      <c r="O661" s="29"/>
      <c r="P661" s="29"/>
      <c r="Q661" s="29"/>
      <c r="R661" s="29"/>
      <c r="S661" s="29"/>
    </row>
    <row r="662" spans="13:19" ht="16.5" customHeight="1" x14ac:dyDescent="0.2">
      <c r="M662" s="29"/>
      <c r="N662" s="29"/>
      <c r="O662" s="29"/>
      <c r="P662" s="29"/>
      <c r="Q662" s="29"/>
      <c r="R662" s="29"/>
      <c r="S662" s="29"/>
    </row>
    <row r="663" spans="13:19" ht="16.5" customHeight="1" x14ac:dyDescent="0.2">
      <c r="M663" s="29"/>
      <c r="N663" s="29"/>
      <c r="O663" s="29"/>
      <c r="P663" s="29"/>
      <c r="Q663" s="29"/>
      <c r="R663" s="29"/>
      <c r="S663" s="29"/>
    </row>
    <row r="664" spans="13:19" ht="16.5" customHeight="1" x14ac:dyDescent="0.2">
      <c r="M664" s="29"/>
      <c r="N664" s="29"/>
      <c r="O664" s="29"/>
      <c r="P664" s="29"/>
      <c r="Q664" s="29"/>
      <c r="R664" s="29"/>
      <c r="S664" s="29"/>
    </row>
    <row r="665" spans="13:19" ht="16.5" customHeight="1" x14ac:dyDescent="0.2">
      <c r="M665" s="29"/>
      <c r="N665" s="29"/>
      <c r="O665" s="29"/>
      <c r="P665" s="29"/>
      <c r="Q665" s="29"/>
      <c r="R665" s="29"/>
      <c r="S665" s="29"/>
    </row>
    <row r="666" spans="13:19" ht="16.5" customHeight="1" x14ac:dyDescent="0.2">
      <c r="M666" s="29"/>
      <c r="N666" s="29"/>
      <c r="O666" s="29"/>
      <c r="P666" s="29"/>
      <c r="Q666" s="29"/>
      <c r="R666" s="29"/>
      <c r="S666" s="29"/>
    </row>
    <row r="667" spans="13:19" ht="16.5" customHeight="1" x14ac:dyDescent="0.2">
      <c r="M667" s="29"/>
      <c r="N667" s="29"/>
      <c r="O667" s="29"/>
      <c r="P667" s="29"/>
      <c r="Q667" s="29"/>
      <c r="R667" s="29"/>
      <c r="S667" s="29"/>
    </row>
    <row r="668" spans="13:19" ht="16.5" customHeight="1" x14ac:dyDescent="0.2">
      <c r="M668" s="29"/>
      <c r="N668" s="29"/>
      <c r="O668" s="29"/>
      <c r="P668" s="29"/>
      <c r="Q668" s="29"/>
      <c r="R668" s="29"/>
      <c r="S668" s="29"/>
    </row>
    <row r="669" spans="13:19" ht="16.5" customHeight="1" x14ac:dyDescent="0.2">
      <c r="M669" s="29"/>
      <c r="N669" s="29"/>
      <c r="O669" s="29"/>
      <c r="P669" s="29"/>
      <c r="Q669" s="29"/>
      <c r="R669" s="29"/>
      <c r="S669" s="29"/>
    </row>
    <row r="670" spans="13:19" ht="16.5" customHeight="1" x14ac:dyDescent="0.2">
      <c r="M670" s="29"/>
      <c r="N670" s="29"/>
      <c r="O670" s="29"/>
      <c r="P670" s="29"/>
      <c r="Q670" s="29"/>
      <c r="R670" s="29"/>
      <c r="S670" s="29"/>
    </row>
    <row r="671" spans="13:19" ht="16.5" customHeight="1" x14ac:dyDescent="0.2">
      <c r="M671" s="29"/>
      <c r="N671" s="29"/>
      <c r="O671" s="29"/>
      <c r="P671" s="29"/>
      <c r="Q671" s="29"/>
      <c r="R671" s="29"/>
      <c r="S671" s="29"/>
    </row>
    <row r="672" spans="13:19" ht="16.5" customHeight="1" x14ac:dyDescent="0.2">
      <c r="M672" s="29"/>
      <c r="N672" s="29"/>
      <c r="O672" s="29"/>
      <c r="P672" s="29"/>
      <c r="Q672" s="29"/>
      <c r="R672" s="29"/>
      <c r="S672" s="29"/>
    </row>
    <row r="673" spans="13:19" ht="16.5" customHeight="1" x14ac:dyDescent="0.2">
      <c r="M673" s="29"/>
      <c r="N673" s="29"/>
      <c r="O673" s="29"/>
      <c r="P673" s="29"/>
      <c r="Q673" s="29"/>
      <c r="R673" s="29"/>
      <c r="S673" s="29"/>
    </row>
    <row r="674" spans="13:19" ht="16.5" customHeight="1" x14ac:dyDescent="0.2">
      <c r="M674" s="29"/>
      <c r="N674" s="29"/>
      <c r="O674" s="29"/>
      <c r="P674" s="29"/>
      <c r="Q674" s="29"/>
      <c r="R674" s="29"/>
      <c r="S674" s="29"/>
    </row>
    <row r="675" spans="13:19" ht="16.5" customHeight="1" x14ac:dyDescent="0.2">
      <c r="M675" s="29"/>
      <c r="N675" s="29"/>
      <c r="O675" s="29"/>
      <c r="P675" s="29"/>
      <c r="Q675" s="29"/>
      <c r="R675" s="29"/>
      <c r="S675" s="29"/>
    </row>
    <row r="676" spans="13:19" ht="16.5" customHeight="1" x14ac:dyDescent="0.2">
      <c r="M676" s="29"/>
      <c r="N676" s="29"/>
      <c r="O676" s="29"/>
      <c r="P676" s="29"/>
      <c r="Q676" s="29"/>
      <c r="R676" s="29"/>
      <c r="S676" s="29"/>
    </row>
    <row r="677" spans="13:19" ht="16.5" customHeight="1" x14ac:dyDescent="0.2">
      <c r="M677" s="29"/>
      <c r="N677" s="29"/>
      <c r="O677" s="29"/>
      <c r="P677" s="29"/>
      <c r="Q677" s="29"/>
      <c r="R677" s="29"/>
      <c r="S677" s="29"/>
    </row>
    <row r="678" spans="13:19" ht="16.5" customHeight="1" x14ac:dyDescent="0.2">
      <c r="M678" s="29"/>
      <c r="N678" s="29"/>
      <c r="O678" s="29"/>
      <c r="P678" s="29"/>
      <c r="Q678" s="29"/>
      <c r="R678" s="29"/>
      <c r="S678" s="29"/>
    </row>
    <row r="679" spans="13:19" ht="16.5" customHeight="1" x14ac:dyDescent="0.2">
      <c r="M679" s="29"/>
      <c r="N679" s="29"/>
      <c r="O679" s="29"/>
      <c r="P679" s="29"/>
      <c r="Q679" s="29"/>
      <c r="R679" s="29"/>
      <c r="S679" s="29"/>
    </row>
    <row r="680" spans="13:19" ht="16.5" customHeight="1" x14ac:dyDescent="0.2">
      <c r="M680" s="29"/>
      <c r="N680" s="29"/>
      <c r="O680" s="29"/>
      <c r="P680" s="29"/>
      <c r="Q680" s="29"/>
      <c r="R680" s="29"/>
      <c r="S680" s="29"/>
    </row>
    <row r="681" spans="13:19" ht="16.5" customHeight="1" x14ac:dyDescent="0.2">
      <c r="M681" s="29"/>
      <c r="N681" s="29"/>
      <c r="O681" s="29"/>
      <c r="P681" s="29"/>
      <c r="Q681" s="29"/>
      <c r="R681" s="29"/>
      <c r="S681" s="29"/>
    </row>
    <row r="682" spans="13:19" ht="16.5" customHeight="1" x14ac:dyDescent="0.2">
      <c r="M682" s="29"/>
      <c r="N682" s="29"/>
      <c r="O682" s="29"/>
      <c r="P682" s="29"/>
      <c r="Q682" s="29"/>
      <c r="R682" s="29"/>
      <c r="S682" s="29"/>
    </row>
    <row r="683" spans="13:19" ht="16.5" customHeight="1" x14ac:dyDescent="0.2">
      <c r="M683" s="29"/>
      <c r="N683" s="29"/>
      <c r="O683" s="29"/>
      <c r="P683" s="29"/>
      <c r="Q683" s="29"/>
      <c r="R683" s="29"/>
      <c r="S683" s="29"/>
    </row>
    <row r="684" spans="13:19" ht="16.5" customHeight="1" x14ac:dyDescent="0.2">
      <c r="M684" s="29"/>
      <c r="N684" s="29"/>
      <c r="O684" s="29"/>
      <c r="P684" s="29"/>
      <c r="Q684" s="29"/>
      <c r="R684" s="29"/>
      <c r="S684" s="29"/>
    </row>
    <row r="685" spans="13:19" ht="16.5" customHeight="1" x14ac:dyDescent="0.2">
      <c r="M685" s="29"/>
      <c r="N685" s="29"/>
      <c r="O685" s="29"/>
      <c r="P685" s="29"/>
      <c r="Q685" s="29"/>
      <c r="R685" s="29"/>
      <c r="S685" s="29"/>
    </row>
    <row r="686" spans="13:19" ht="16.5" customHeight="1" x14ac:dyDescent="0.2">
      <c r="M686" s="29"/>
      <c r="N686" s="29"/>
      <c r="O686" s="29"/>
      <c r="P686" s="29"/>
      <c r="Q686" s="29"/>
      <c r="R686" s="29"/>
      <c r="S686" s="29"/>
    </row>
    <row r="687" spans="13:19" ht="16.5" customHeight="1" x14ac:dyDescent="0.2">
      <c r="M687" s="29"/>
      <c r="N687" s="29"/>
      <c r="O687" s="29"/>
      <c r="P687" s="29"/>
      <c r="Q687" s="29"/>
      <c r="R687" s="29"/>
      <c r="S687" s="29"/>
    </row>
    <row r="688" spans="13:19" ht="16.5" customHeight="1" x14ac:dyDescent="0.2">
      <c r="M688" s="29"/>
      <c r="N688" s="29"/>
      <c r="O688" s="29"/>
      <c r="P688" s="29"/>
      <c r="Q688" s="29"/>
      <c r="R688" s="29"/>
      <c r="S688" s="29"/>
    </row>
    <row r="689" spans="13:19" ht="16.5" customHeight="1" x14ac:dyDescent="0.2">
      <c r="M689" s="29"/>
      <c r="N689" s="29"/>
      <c r="O689" s="29"/>
      <c r="P689" s="29"/>
      <c r="Q689" s="29"/>
      <c r="R689" s="29"/>
      <c r="S689" s="29"/>
    </row>
    <row r="690" spans="13:19" ht="16.5" customHeight="1" x14ac:dyDescent="0.2">
      <c r="M690" s="29"/>
      <c r="N690" s="29"/>
      <c r="O690" s="29"/>
      <c r="P690" s="29"/>
      <c r="Q690" s="29"/>
      <c r="R690" s="29"/>
      <c r="S690" s="29"/>
    </row>
    <row r="691" spans="13:19" ht="16.5" customHeight="1" x14ac:dyDescent="0.2">
      <c r="M691" s="29"/>
      <c r="N691" s="29"/>
      <c r="O691" s="29"/>
      <c r="P691" s="29"/>
      <c r="Q691" s="29"/>
      <c r="R691" s="29"/>
      <c r="S691" s="29"/>
    </row>
    <row r="692" spans="13:19" ht="16.5" customHeight="1" x14ac:dyDescent="0.2">
      <c r="M692" s="29"/>
      <c r="N692" s="29"/>
      <c r="O692" s="29"/>
      <c r="P692" s="29"/>
      <c r="Q692" s="29"/>
      <c r="R692" s="29"/>
      <c r="S692" s="29"/>
    </row>
    <row r="693" spans="13:19" ht="16.5" customHeight="1" x14ac:dyDescent="0.2">
      <c r="M693" s="29"/>
      <c r="N693" s="29"/>
      <c r="O693" s="29"/>
      <c r="P693" s="29"/>
      <c r="Q693" s="29"/>
      <c r="R693" s="29"/>
      <c r="S693" s="29"/>
    </row>
    <row r="694" spans="13:19" ht="16.5" customHeight="1" x14ac:dyDescent="0.2">
      <c r="M694" s="29"/>
      <c r="N694" s="29"/>
      <c r="O694" s="29"/>
      <c r="P694" s="29"/>
      <c r="Q694" s="29"/>
      <c r="R694" s="29"/>
      <c r="S694" s="29"/>
    </row>
    <row r="695" spans="13:19" ht="16.5" customHeight="1" x14ac:dyDescent="0.2">
      <c r="M695" s="29"/>
      <c r="N695" s="29"/>
      <c r="O695" s="29"/>
      <c r="P695" s="29"/>
      <c r="Q695" s="29"/>
      <c r="R695" s="29"/>
      <c r="S695" s="29"/>
    </row>
    <row r="696" spans="13:19" ht="16.5" customHeight="1" x14ac:dyDescent="0.2">
      <c r="M696" s="29"/>
      <c r="N696" s="29"/>
      <c r="O696" s="29"/>
      <c r="P696" s="29"/>
      <c r="Q696" s="29"/>
      <c r="R696" s="29"/>
      <c r="S696" s="29"/>
    </row>
    <row r="697" spans="13:19" ht="16.5" customHeight="1" x14ac:dyDescent="0.2">
      <c r="M697" s="29"/>
      <c r="N697" s="29"/>
      <c r="O697" s="29"/>
      <c r="P697" s="29"/>
      <c r="Q697" s="29"/>
      <c r="R697" s="29"/>
      <c r="S697" s="29"/>
    </row>
    <row r="698" spans="13:19" ht="16.5" customHeight="1" x14ac:dyDescent="0.2">
      <c r="M698" s="29"/>
      <c r="N698" s="29"/>
      <c r="O698" s="29"/>
      <c r="P698" s="29"/>
      <c r="Q698" s="29"/>
      <c r="R698" s="29"/>
      <c r="S698" s="29"/>
    </row>
    <row r="699" spans="13:19" ht="16.5" customHeight="1" x14ac:dyDescent="0.2">
      <c r="M699" s="29"/>
      <c r="N699" s="29"/>
      <c r="O699" s="29"/>
      <c r="P699" s="29"/>
      <c r="Q699" s="29"/>
      <c r="R699" s="29"/>
      <c r="S699" s="29"/>
    </row>
    <row r="700" spans="13:19" ht="16.5" customHeight="1" x14ac:dyDescent="0.2">
      <c r="M700" s="29"/>
      <c r="N700" s="29"/>
      <c r="O700" s="29"/>
      <c r="P700" s="29"/>
      <c r="Q700" s="29"/>
      <c r="R700" s="29"/>
      <c r="S700" s="29"/>
    </row>
    <row r="701" spans="13:19" ht="16.5" customHeight="1" x14ac:dyDescent="0.2">
      <c r="M701" s="29"/>
      <c r="N701" s="29"/>
      <c r="O701" s="29"/>
      <c r="P701" s="29"/>
      <c r="Q701" s="29"/>
      <c r="R701" s="29"/>
      <c r="S701" s="29"/>
    </row>
    <row r="702" spans="13:19" ht="16.5" customHeight="1" x14ac:dyDescent="0.2">
      <c r="M702" s="29"/>
      <c r="N702" s="29"/>
      <c r="O702" s="29"/>
      <c r="P702" s="29"/>
      <c r="Q702" s="29"/>
      <c r="R702" s="29"/>
      <c r="S702" s="29"/>
    </row>
    <row r="703" spans="13:19" ht="16.5" customHeight="1" x14ac:dyDescent="0.2">
      <c r="M703" s="29"/>
      <c r="N703" s="29"/>
      <c r="O703" s="29"/>
      <c r="P703" s="29"/>
      <c r="Q703" s="29"/>
      <c r="R703" s="29"/>
      <c r="S703" s="29"/>
    </row>
    <row r="704" spans="13:19" ht="16.5" customHeight="1" x14ac:dyDescent="0.2">
      <c r="M704" s="29"/>
      <c r="N704" s="29"/>
      <c r="O704" s="29"/>
      <c r="P704" s="29"/>
      <c r="Q704" s="29"/>
      <c r="R704" s="29"/>
      <c r="S704" s="29"/>
    </row>
    <row r="705" spans="13:19" ht="16.5" customHeight="1" x14ac:dyDescent="0.2">
      <c r="M705" s="29"/>
      <c r="N705" s="29"/>
      <c r="O705" s="29"/>
      <c r="P705" s="29"/>
      <c r="Q705" s="29"/>
      <c r="R705" s="29"/>
      <c r="S705" s="29"/>
    </row>
    <row r="706" spans="13:19" ht="16.5" customHeight="1" x14ac:dyDescent="0.2">
      <c r="M706" s="29"/>
      <c r="N706" s="29"/>
      <c r="O706" s="29"/>
      <c r="P706" s="29"/>
      <c r="Q706" s="29"/>
      <c r="R706" s="29"/>
      <c r="S706" s="29"/>
    </row>
    <row r="707" spans="13:19" ht="16.5" customHeight="1" x14ac:dyDescent="0.2">
      <c r="M707" s="29"/>
      <c r="N707" s="29"/>
      <c r="O707" s="29"/>
      <c r="P707" s="29"/>
      <c r="Q707" s="29"/>
      <c r="R707" s="29"/>
      <c r="S707" s="29"/>
    </row>
    <row r="708" spans="13:19" ht="16.5" customHeight="1" x14ac:dyDescent="0.2">
      <c r="M708" s="29"/>
      <c r="N708" s="29"/>
      <c r="O708" s="29"/>
      <c r="P708" s="29"/>
      <c r="Q708" s="29"/>
      <c r="R708" s="29"/>
      <c r="S708" s="29"/>
    </row>
    <row r="709" spans="13:19" ht="16.5" customHeight="1" x14ac:dyDescent="0.2">
      <c r="M709" s="29"/>
      <c r="N709" s="29"/>
      <c r="O709" s="29"/>
      <c r="P709" s="29"/>
      <c r="Q709" s="29"/>
      <c r="R709" s="29"/>
      <c r="S709" s="29"/>
    </row>
    <row r="710" spans="13:19" ht="16.5" customHeight="1" x14ac:dyDescent="0.2">
      <c r="M710" s="29"/>
      <c r="N710" s="29"/>
      <c r="O710" s="29"/>
      <c r="P710" s="29"/>
      <c r="Q710" s="29"/>
      <c r="R710" s="29"/>
      <c r="S710" s="29"/>
    </row>
    <row r="711" spans="13:19" ht="16.5" customHeight="1" x14ac:dyDescent="0.2">
      <c r="M711" s="29"/>
      <c r="N711" s="29"/>
      <c r="O711" s="29"/>
      <c r="P711" s="29"/>
      <c r="Q711" s="29"/>
      <c r="R711" s="29"/>
      <c r="S711" s="29"/>
    </row>
    <row r="712" spans="13:19" ht="16.5" customHeight="1" x14ac:dyDescent="0.2">
      <c r="M712" s="29"/>
      <c r="N712" s="29"/>
      <c r="O712" s="29"/>
      <c r="P712" s="29"/>
      <c r="Q712" s="29"/>
      <c r="R712" s="29"/>
      <c r="S712" s="29"/>
    </row>
    <row r="713" spans="13:19" ht="16.5" customHeight="1" x14ac:dyDescent="0.2">
      <c r="M713" s="29"/>
      <c r="N713" s="29"/>
      <c r="O713" s="29"/>
      <c r="P713" s="29"/>
      <c r="Q713" s="29"/>
      <c r="R713" s="29"/>
      <c r="S713" s="29"/>
    </row>
    <row r="714" spans="13:19" ht="16.5" customHeight="1" x14ac:dyDescent="0.2">
      <c r="M714" s="29"/>
      <c r="N714" s="29"/>
      <c r="O714" s="29"/>
      <c r="P714" s="29"/>
      <c r="Q714" s="29"/>
      <c r="R714" s="29"/>
      <c r="S714" s="29"/>
    </row>
    <row r="715" spans="13:19" ht="16.5" customHeight="1" x14ac:dyDescent="0.2">
      <c r="M715" s="29"/>
      <c r="N715" s="29"/>
      <c r="O715" s="29"/>
      <c r="P715" s="29"/>
      <c r="Q715" s="29"/>
      <c r="R715" s="29"/>
      <c r="S715" s="29"/>
    </row>
    <row r="716" spans="13:19" ht="16.5" customHeight="1" x14ac:dyDescent="0.2">
      <c r="M716" s="29"/>
      <c r="N716" s="29"/>
      <c r="O716" s="29"/>
      <c r="P716" s="29"/>
      <c r="Q716" s="29"/>
      <c r="R716" s="29"/>
      <c r="S716" s="29"/>
    </row>
    <row r="717" spans="13:19" ht="16.5" customHeight="1" x14ac:dyDescent="0.2">
      <c r="M717" s="29"/>
      <c r="N717" s="29"/>
      <c r="O717" s="29"/>
      <c r="P717" s="29"/>
      <c r="Q717" s="29"/>
      <c r="R717" s="29"/>
      <c r="S717" s="29"/>
    </row>
    <row r="718" spans="13:19" ht="16.5" customHeight="1" x14ac:dyDescent="0.2">
      <c r="M718" s="29"/>
      <c r="N718" s="29"/>
      <c r="O718" s="29"/>
      <c r="P718" s="29"/>
      <c r="Q718" s="29"/>
      <c r="R718" s="29"/>
      <c r="S718" s="29"/>
    </row>
    <row r="719" spans="13:19" ht="16.5" customHeight="1" x14ac:dyDescent="0.2">
      <c r="M719" s="29"/>
      <c r="N719" s="29"/>
      <c r="O719" s="29"/>
      <c r="P719" s="29"/>
      <c r="Q719" s="29"/>
      <c r="R719" s="29"/>
      <c r="S719" s="29"/>
    </row>
    <row r="720" spans="13:19" ht="16.5" customHeight="1" x14ac:dyDescent="0.2">
      <c r="M720" s="29"/>
      <c r="N720" s="29"/>
      <c r="O720" s="29"/>
      <c r="P720" s="29"/>
      <c r="Q720" s="29"/>
      <c r="R720" s="29"/>
      <c r="S720" s="29"/>
    </row>
    <row r="721" spans="13:19" ht="16.5" customHeight="1" x14ac:dyDescent="0.2">
      <c r="M721" s="29"/>
      <c r="N721" s="29"/>
      <c r="O721" s="29"/>
      <c r="P721" s="29"/>
      <c r="Q721" s="29"/>
      <c r="R721" s="29"/>
      <c r="S721" s="29"/>
    </row>
    <row r="722" spans="13:19" ht="16.5" customHeight="1" x14ac:dyDescent="0.2">
      <c r="M722" s="29"/>
      <c r="N722" s="29"/>
      <c r="O722" s="29"/>
      <c r="P722" s="29"/>
      <c r="Q722" s="29"/>
      <c r="R722" s="29"/>
      <c r="S722" s="29"/>
    </row>
    <row r="723" spans="13:19" ht="16.5" customHeight="1" x14ac:dyDescent="0.2">
      <c r="M723" s="29"/>
      <c r="N723" s="29"/>
      <c r="O723" s="29"/>
      <c r="P723" s="29"/>
      <c r="Q723" s="29"/>
      <c r="R723" s="29"/>
      <c r="S723" s="29"/>
    </row>
    <row r="724" spans="13:19" ht="16.5" customHeight="1" x14ac:dyDescent="0.2">
      <c r="M724" s="29"/>
      <c r="N724" s="29"/>
      <c r="O724" s="29"/>
      <c r="P724" s="29"/>
      <c r="Q724" s="29"/>
      <c r="R724" s="29"/>
      <c r="S724" s="29"/>
    </row>
    <row r="725" spans="13:19" ht="16.5" customHeight="1" x14ac:dyDescent="0.2">
      <c r="M725" s="29"/>
      <c r="N725" s="29"/>
      <c r="O725" s="29"/>
      <c r="P725" s="29"/>
      <c r="Q725" s="29"/>
      <c r="R725" s="29"/>
      <c r="S725" s="29"/>
    </row>
    <row r="726" spans="13:19" ht="16.5" customHeight="1" x14ac:dyDescent="0.2">
      <c r="M726" s="29"/>
      <c r="N726" s="29"/>
      <c r="O726" s="29"/>
      <c r="P726" s="29"/>
      <c r="Q726" s="29"/>
      <c r="R726" s="29"/>
      <c r="S726" s="29"/>
    </row>
    <row r="727" spans="13:19" ht="16.5" customHeight="1" x14ac:dyDescent="0.2">
      <c r="M727" s="29"/>
      <c r="N727" s="29"/>
      <c r="O727" s="29"/>
      <c r="P727" s="29"/>
      <c r="Q727" s="29"/>
      <c r="R727" s="29"/>
      <c r="S727" s="29"/>
    </row>
    <row r="728" spans="13:19" ht="16.5" customHeight="1" x14ac:dyDescent="0.2">
      <c r="M728" s="29"/>
      <c r="N728" s="29"/>
      <c r="O728" s="29"/>
      <c r="P728" s="29"/>
      <c r="Q728" s="29"/>
      <c r="R728" s="29"/>
      <c r="S728" s="29"/>
    </row>
    <row r="729" spans="13:19" ht="16.5" customHeight="1" x14ac:dyDescent="0.2">
      <c r="M729" s="29"/>
      <c r="N729" s="29"/>
      <c r="O729" s="29"/>
      <c r="P729" s="29"/>
      <c r="Q729" s="29"/>
      <c r="R729" s="29"/>
      <c r="S729" s="29"/>
    </row>
    <row r="730" spans="13:19" ht="16.5" customHeight="1" x14ac:dyDescent="0.2">
      <c r="M730" s="29"/>
      <c r="N730" s="29"/>
      <c r="O730" s="29"/>
      <c r="P730" s="29"/>
      <c r="Q730" s="29"/>
      <c r="R730" s="29"/>
      <c r="S730" s="29"/>
    </row>
    <row r="731" spans="13:19" ht="16.5" customHeight="1" x14ac:dyDescent="0.2">
      <c r="M731" s="29"/>
      <c r="N731" s="29"/>
      <c r="O731" s="29"/>
      <c r="P731" s="29"/>
      <c r="Q731" s="29"/>
      <c r="R731" s="29"/>
      <c r="S731" s="29"/>
    </row>
    <row r="732" spans="13:19" ht="16.5" customHeight="1" x14ac:dyDescent="0.2">
      <c r="M732" s="29"/>
      <c r="N732" s="29"/>
      <c r="O732" s="29"/>
      <c r="P732" s="29"/>
      <c r="Q732" s="29"/>
      <c r="R732" s="29"/>
      <c r="S732" s="29"/>
    </row>
    <row r="733" spans="13:19" ht="16.5" customHeight="1" x14ac:dyDescent="0.2">
      <c r="M733" s="29"/>
      <c r="N733" s="29"/>
      <c r="O733" s="29"/>
      <c r="P733" s="29"/>
      <c r="Q733" s="29"/>
      <c r="R733" s="29"/>
      <c r="S733" s="29"/>
    </row>
    <row r="734" spans="13:19" ht="16.5" customHeight="1" x14ac:dyDescent="0.2">
      <c r="M734" s="29"/>
      <c r="N734" s="29"/>
      <c r="O734" s="29"/>
      <c r="P734" s="29"/>
      <c r="Q734" s="29"/>
      <c r="R734" s="29"/>
      <c r="S734" s="29"/>
    </row>
    <row r="735" spans="13:19" ht="16.5" customHeight="1" x14ac:dyDescent="0.2">
      <c r="M735" s="29"/>
      <c r="N735" s="29"/>
      <c r="O735" s="29"/>
      <c r="P735" s="29"/>
      <c r="Q735" s="29"/>
      <c r="R735" s="29"/>
      <c r="S735" s="29"/>
    </row>
    <row r="736" spans="13:19" ht="16.5" customHeight="1" x14ac:dyDescent="0.2">
      <c r="M736" s="29"/>
      <c r="N736" s="29"/>
      <c r="O736" s="29"/>
      <c r="P736" s="29"/>
      <c r="Q736" s="29"/>
      <c r="R736" s="29"/>
      <c r="S736" s="29"/>
    </row>
    <row r="737" spans="13:19" ht="16.5" customHeight="1" x14ac:dyDescent="0.2">
      <c r="M737" s="29"/>
      <c r="N737" s="29"/>
      <c r="O737" s="29"/>
      <c r="P737" s="29"/>
      <c r="Q737" s="29"/>
      <c r="R737" s="29"/>
      <c r="S737" s="29"/>
    </row>
    <row r="738" spans="13:19" ht="16.5" customHeight="1" x14ac:dyDescent="0.2">
      <c r="M738" s="29"/>
      <c r="N738" s="29"/>
      <c r="O738" s="29"/>
      <c r="P738" s="29"/>
      <c r="Q738" s="29"/>
      <c r="R738" s="29"/>
      <c r="S738" s="29"/>
    </row>
    <row r="739" spans="13:19" ht="16.5" customHeight="1" x14ac:dyDescent="0.2">
      <c r="M739" s="29"/>
      <c r="N739" s="29"/>
      <c r="O739" s="29"/>
      <c r="P739" s="29"/>
      <c r="Q739" s="29"/>
      <c r="R739" s="29"/>
      <c r="S739" s="29"/>
    </row>
    <row r="740" spans="13:19" ht="16.5" customHeight="1" x14ac:dyDescent="0.2">
      <c r="M740" s="29"/>
      <c r="N740" s="29"/>
      <c r="O740" s="29"/>
      <c r="P740" s="29"/>
      <c r="Q740" s="29"/>
      <c r="R740" s="29"/>
      <c r="S740" s="29"/>
    </row>
    <row r="741" spans="13:19" ht="16.5" customHeight="1" x14ac:dyDescent="0.2">
      <c r="M741" s="29"/>
      <c r="N741" s="29"/>
      <c r="O741" s="29"/>
      <c r="P741" s="29"/>
      <c r="Q741" s="29"/>
      <c r="R741" s="29"/>
      <c r="S741" s="29"/>
    </row>
    <row r="742" spans="13:19" ht="16.5" customHeight="1" x14ac:dyDescent="0.2">
      <c r="M742" s="29"/>
      <c r="N742" s="29"/>
      <c r="O742" s="29"/>
      <c r="P742" s="29"/>
      <c r="Q742" s="29"/>
      <c r="R742" s="29"/>
      <c r="S742" s="29"/>
    </row>
    <row r="743" spans="13:19" ht="16.5" customHeight="1" x14ac:dyDescent="0.2">
      <c r="M743" s="29"/>
      <c r="N743" s="29"/>
      <c r="O743" s="29"/>
      <c r="P743" s="29"/>
      <c r="Q743" s="29"/>
      <c r="R743" s="29"/>
      <c r="S743" s="29"/>
    </row>
    <row r="744" spans="13:19" ht="16.5" customHeight="1" x14ac:dyDescent="0.2">
      <c r="M744" s="29"/>
      <c r="N744" s="29"/>
      <c r="O744" s="29"/>
      <c r="P744" s="29"/>
      <c r="Q744" s="29"/>
      <c r="R744" s="29"/>
      <c r="S744" s="29"/>
    </row>
    <row r="745" spans="13:19" ht="16.5" customHeight="1" x14ac:dyDescent="0.2">
      <c r="M745" s="29"/>
      <c r="N745" s="29"/>
      <c r="O745" s="29"/>
      <c r="P745" s="29"/>
      <c r="Q745" s="29"/>
      <c r="R745" s="29"/>
      <c r="S745" s="29"/>
    </row>
    <row r="746" spans="13:19" ht="16.5" customHeight="1" x14ac:dyDescent="0.2">
      <c r="M746" s="29"/>
      <c r="N746" s="29"/>
      <c r="O746" s="29"/>
      <c r="P746" s="29"/>
      <c r="Q746" s="29"/>
      <c r="R746" s="29"/>
      <c r="S746" s="29"/>
    </row>
    <row r="747" spans="13:19" ht="16.5" customHeight="1" x14ac:dyDescent="0.2">
      <c r="M747" s="29"/>
      <c r="N747" s="29"/>
      <c r="O747" s="29"/>
      <c r="P747" s="29"/>
      <c r="Q747" s="29"/>
      <c r="R747" s="29"/>
      <c r="S747" s="29"/>
    </row>
    <row r="748" spans="13:19" ht="16.5" customHeight="1" x14ac:dyDescent="0.2">
      <c r="M748" s="29"/>
      <c r="N748" s="29"/>
      <c r="O748" s="29"/>
      <c r="P748" s="29"/>
      <c r="Q748" s="29"/>
      <c r="R748" s="29"/>
      <c r="S748" s="29"/>
    </row>
    <row r="749" spans="13:19" ht="16.5" customHeight="1" x14ac:dyDescent="0.2">
      <c r="M749" s="29"/>
      <c r="N749" s="29"/>
      <c r="O749" s="29"/>
      <c r="P749" s="29"/>
      <c r="Q749" s="29"/>
      <c r="R749" s="29"/>
      <c r="S749" s="29"/>
    </row>
    <row r="750" spans="13:19" ht="16.5" customHeight="1" x14ac:dyDescent="0.2">
      <c r="M750" s="29"/>
      <c r="N750" s="29"/>
      <c r="O750" s="29"/>
      <c r="P750" s="29"/>
      <c r="Q750" s="29"/>
      <c r="R750" s="29"/>
      <c r="S750" s="29"/>
    </row>
    <row r="751" spans="13:19" ht="16.5" customHeight="1" x14ac:dyDescent="0.2">
      <c r="M751" s="29"/>
      <c r="N751" s="29"/>
      <c r="O751" s="29"/>
      <c r="P751" s="29"/>
      <c r="Q751" s="29"/>
      <c r="R751" s="29"/>
      <c r="S751" s="29"/>
    </row>
    <row r="752" spans="13:19" ht="16.5" customHeight="1" x14ac:dyDescent="0.2">
      <c r="M752" s="29"/>
      <c r="N752" s="29"/>
      <c r="O752" s="29"/>
      <c r="P752" s="29"/>
      <c r="Q752" s="29"/>
      <c r="R752" s="29"/>
      <c r="S752" s="29"/>
    </row>
    <row r="753" spans="13:19" ht="16.5" customHeight="1" x14ac:dyDescent="0.2">
      <c r="M753" s="29"/>
      <c r="N753" s="29"/>
      <c r="O753" s="29"/>
      <c r="P753" s="29"/>
      <c r="Q753" s="29"/>
      <c r="R753" s="29"/>
      <c r="S753" s="29"/>
    </row>
    <row r="754" spans="13:19" ht="16.5" customHeight="1" x14ac:dyDescent="0.2">
      <c r="M754" s="29"/>
      <c r="N754" s="29"/>
      <c r="O754" s="29"/>
      <c r="P754" s="29"/>
      <c r="Q754" s="29"/>
      <c r="R754" s="29"/>
      <c r="S754" s="29"/>
    </row>
    <row r="755" spans="13:19" ht="16.5" customHeight="1" x14ac:dyDescent="0.2">
      <c r="M755" s="29"/>
      <c r="N755" s="29"/>
      <c r="O755" s="29"/>
      <c r="P755" s="29"/>
      <c r="Q755" s="29"/>
      <c r="R755" s="29"/>
      <c r="S755" s="29"/>
    </row>
    <row r="756" spans="13:19" ht="16.5" customHeight="1" x14ac:dyDescent="0.2">
      <c r="M756" s="29"/>
      <c r="N756" s="29"/>
      <c r="O756" s="29"/>
      <c r="P756" s="29"/>
      <c r="Q756" s="29"/>
      <c r="R756" s="29"/>
      <c r="S756" s="29"/>
    </row>
    <row r="757" spans="13:19" ht="16.5" customHeight="1" x14ac:dyDescent="0.2">
      <c r="M757" s="29"/>
      <c r="N757" s="29"/>
      <c r="O757" s="29"/>
      <c r="P757" s="29"/>
      <c r="Q757" s="29"/>
      <c r="R757" s="29"/>
      <c r="S757" s="29"/>
    </row>
    <row r="758" spans="13:19" ht="16.5" customHeight="1" x14ac:dyDescent="0.2">
      <c r="M758" s="29"/>
      <c r="N758" s="29"/>
      <c r="O758" s="29"/>
      <c r="P758" s="29"/>
      <c r="Q758" s="29"/>
      <c r="R758" s="29"/>
      <c r="S758" s="29"/>
    </row>
    <row r="759" spans="13:19" ht="16.5" customHeight="1" x14ac:dyDescent="0.2">
      <c r="M759" s="29"/>
      <c r="N759" s="29"/>
      <c r="O759" s="29"/>
      <c r="P759" s="29"/>
      <c r="Q759" s="29"/>
      <c r="R759" s="29"/>
      <c r="S759" s="29"/>
    </row>
    <row r="760" spans="13:19" ht="16.5" customHeight="1" x14ac:dyDescent="0.2">
      <c r="M760" s="29"/>
      <c r="N760" s="29"/>
      <c r="O760" s="29"/>
      <c r="P760" s="29"/>
      <c r="Q760" s="29"/>
      <c r="R760" s="29"/>
      <c r="S760" s="29"/>
    </row>
    <row r="761" spans="13:19" ht="16.5" customHeight="1" x14ac:dyDescent="0.2">
      <c r="M761" s="29"/>
      <c r="N761" s="29"/>
      <c r="O761" s="29"/>
      <c r="P761" s="29"/>
      <c r="Q761" s="29"/>
      <c r="R761" s="29"/>
      <c r="S761" s="29"/>
    </row>
    <row r="762" spans="13:19" ht="16.5" customHeight="1" x14ac:dyDescent="0.2">
      <c r="M762" s="29"/>
      <c r="N762" s="29"/>
      <c r="O762" s="29"/>
      <c r="P762" s="29"/>
      <c r="Q762" s="29"/>
      <c r="R762" s="29"/>
      <c r="S762" s="29"/>
    </row>
    <row r="763" spans="13:19" ht="16.5" customHeight="1" x14ac:dyDescent="0.2">
      <c r="M763" s="29"/>
      <c r="N763" s="29"/>
      <c r="O763" s="29"/>
      <c r="P763" s="29"/>
      <c r="Q763" s="29"/>
      <c r="R763" s="29"/>
      <c r="S763" s="29"/>
    </row>
    <row r="764" spans="13:19" ht="16.5" customHeight="1" x14ac:dyDescent="0.2">
      <c r="M764" s="29"/>
      <c r="N764" s="29"/>
      <c r="O764" s="29"/>
      <c r="P764" s="29"/>
      <c r="Q764" s="29"/>
      <c r="R764" s="29"/>
      <c r="S764" s="29"/>
    </row>
    <row r="765" spans="13:19" ht="16.5" customHeight="1" x14ac:dyDescent="0.2">
      <c r="M765" s="29"/>
      <c r="N765" s="29"/>
      <c r="O765" s="29"/>
      <c r="P765" s="29"/>
      <c r="Q765" s="29"/>
      <c r="R765" s="29"/>
      <c r="S765" s="29"/>
    </row>
    <row r="766" spans="13:19" ht="16.5" customHeight="1" x14ac:dyDescent="0.2">
      <c r="M766" s="29"/>
      <c r="N766" s="29"/>
      <c r="O766" s="29"/>
      <c r="P766" s="29"/>
      <c r="Q766" s="29"/>
      <c r="R766" s="29"/>
      <c r="S766" s="29"/>
    </row>
    <row r="767" spans="13:19" ht="16.5" customHeight="1" x14ac:dyDescent="0.2">
      <c r="M767" s="29"/>
      <c r="N767" s="29"/>
      <c r="O767" s="29"/>
      <c r="P767" s="29"/>
      <c r="Q767" s="29"/>
      <c r="R767" s="29"/>
      <c r="S767" s="29"/>
    </row>
    <row r="768" spans="13:19" ht="16.5" customHeight="1" x14ac:dyDescent="0.2">
      <c r="M768" s="29"/>
      <c r="N768" s="29"/>
      <c r="O768" s="29"/>
      <c r="P768" s="29"/>
      <c r="Q768" s="29"/>
      <c r="R768" s="29"/>
      <c r="S768" s="29"/>
    </row>
    <row r="769" spans="13:19" ht="16.5" customHeight="1" x14ac:dyDescent="0.2">
      <c r="M769" s="29"/>
      <c r="N769" s="29"/>
      <c r="O769" s="29"/>
      <c r="P769" s="29"/>
      <c r="Q769" s="29"/>
      <c r="R769" s="29"/>
      <c r="S769" s="29"/>
    </row>
    <row r="770" spans="13:19" ht="16.5" customHeight="1" x14ac:dyDescent="0.2">
      <c r="M770" s="29"/>
      <c r="N770" s="29"/>
      <c r="O770" s="29"/>
      <c r="P770" s="29"/>
      <c r="Q770" s="29"/>
      <c r="R770" s="29"/>
      <c r="S770" s="29"/>
    </row>
    <row r="771" spans="13:19" ht="16.5" customHeight="1" x14ac:dyDescent="0.2">
      <c r="M771" s="29"/>
      <c r="N771" s="29"/>
      <c r="O771" s="29"/>
      <c r="P771" s="29"/>
      <c r="Q771" s="29"/>
      <c r="R771" s="29"/>
      <c r="S771" s="29"/>
    </row>
    <row r="772" spans="13:19" ht="16.5" customHeight="1" x14ac:dyDescent="0.2">
      <c r="M772" s="29"/>
      <c r="N772" s="29"/>
      <c r="O772" s="29"/>
      <c r="P772" s="29"/>
      <c r="Q772" s="29"/>
      <c r="R772" s="29"/>
      <c r="S772" s="29"/>
    </row>
    <row r="773" spans="13:19" ht="16.5" customHeight="1" x14ac:dyDescent="0.2">
      <c r="M773" s="29"/>
      <c r="N773" s="29"/>
      <c r="O773" s="29"/>
      <c r="P773" s="29"/>
      <c r="Q773" s="29"/>
      <c r="R773" s="29"/>
      <c r="S773" s="29"/>
    </row>
    <row r="774" spans="13:19" ht="16.5" customHeight="1" x14ac:dyDescent="0.2">
      <c r="M774" s="29"/>
      <c r="N774" s="29"/>
      <c r="O774" s="29"/>
      <c r="P774" s="29"/>
      <c r="Q774" s="29"/>
      <c r="R774" s="29"/>
      <c r="S774" s="29"/>
    </row>
    <row r="775" spans="13:19" ht="16.5" customHeight="1" x14ac:dyDescent="0.2">
      <c r="M775" s="29"/>
      <c r="N775" s="29"/>
      <c r="O775" s="29"/>
      <c r="P775" s="29"/>
      <c r="Q775" s="29"/>
      <c r="R775" s="29"/>
      <c r="S775" s="29"/>
    </row>
    <row r="776" spans="13:19" ht="16.5" customHeight="1" x14ac:dyDescent="0.2">
      <c r="M776" s="29"/>
      <c r="N776" s="29"/>
      <c r="O776" s="29"/>
      <c r="P776" s="29"/>
      <c r="Q776" s="29"/>
      <c r="R776" s="29"/>
      <c r="S776" s="29"/>
    </row>
    <row r="777" spans="13:19" ht="16.5" customHeight="1" x14ac:dyDescent="0.2">
      <c r="M777" s="29"/>
      <c r="N777" s="29"/>
      <c r="O777" s="29"/>
      <c r="P777" s="29"/>
      <c r="Q777" s="29"/>
      <c r="R777" s="29"/>
      <c r="S777" s="29"/>
    </row>
    <row r="778" spans="13:19" ht="16.5" customHeight="1" x14ac:dyDescent="0.2">
      <c r="M778" s="29"/>
      <c r="N778" s="29"/>
      <c r="O778" s="29"/>
      <c r="P778" s="29"/>
      <c r="Q778" s="29"/>
      <c r="R778" s="29"/>
      <c r="S778" s="29"/>
    </row>
    <row r="779" spans="13:19" ht="16.5" customHeight="1" x14ac:dyDescent="0.2">
      <c r="M779" s="29"/>
      <c r="N779" s="29"/>
      <c r="O779" s="29"/>
      <c r="P779" s="29"/>
      <c r="Q779" s="29"/>
      <c r="R779" s="29"/>
      <c r="S779" s="29"/>
    </row>
    <row r="780" spans="13:19" ht="16.5" customHeight="1" x14ac:dyDescent="0.2">
      <c r="M780" s="29"/>
      <c r="N780" s="29"/>
      <c r="O780" s="29"/>
      <c r="P780" s="29"/>
      <c r="Q780" s="29"/>
      <c r="R780" s="29"/>
      <c r="S780" s="29"/>
    </row>
    <row r="781" spans="13:19" ht="16.5" customHeight="1" x14ac:dyDescent="0.2">
      <c r="M781" s="29"/>
      <c r="N781" s="29"/>
      <c r="O781" s="29"/>
      <c r="P781" s="29"/>
      <c r="Q781" s="29"/>
      <c r="R781" s="29"/>
      <c r="S781" s="29"/>
    </row>
    <row r="782" spans="13:19" ht="16.5" customHeight="1" x14ac:dyDescent="0.2">
      <c r="M782" s="29"/>
      <c r="N782" s="29"/>
      <c r="O782" s="29"/>
      <c r="P782" s="29"/>
      <c r="Q782" s="29"/>
      <c r="R782" s="29"/>
      <c r="S782" s="29"/>
    </row>
    <row r="783" spans="13:19" ht="16.5" customHeight="1" x14ac:dyDescent="0.2">
      <c r="M783" s="29"/>
      <c r="N783" s="29"/>
      <c r="O783" s="29"/>
      <c r="P783" s="29"/>
      <c r="Q783" s="29"/>
      <c r="R783" s="29"/>
      <c r="S783" s="29"/>
    </row>
    <row r="784" spans="13:19" ht="16.5" customHeight="1" x14ac:dyDescent="0.2">
      <c r="M784" s="29"/>
      <c r="N784" s="29"/>
      <c r="O784" s="29"/>
      <c r="P784" s="29"/>
      <c r="Q784" s="29"/>
      <c r="R784" s="29"/>
      <c r="S784" s="29"/>
    </row>
    <row r="785" spans="13:19" ht="16.5" customHeight="1" x14ac:dyDescent="0.2">
      <c r="M785" s="29"/>
      <c r="N785" s="29"/>
      <c r="O785" s="29"/>
      <c r="P785" s="29"/>
      <c r="Q785" s="29"/>
      <c r="R785" s="29"/>
      <c r="S785" s="29"/>
    </row>
    <row r="786" spans="13:19" ht="16.5" customHeight="1" x14ac:dyDescent="0.2">
      <c r="M786" s="29"/>
      <c r="N786" s="29"/>
      <c r="O786" s="29"/>
      <c r="P786" s="29"/>
      <c r="Q786" s="29"/>
      <c r="R786" s="29"/>
      <c r="S786" s="29"/>
    </row>
    <row r="787" spans="13:19" ht="16.5" customHeight="1" x14ac:dyDescent="0.2">
      <c r="M787" s="29"/>
      <c r="N787" s="29"/>
      <c r="O787" s="29"/>
      <c r="P787" s="29"/>
      <c r="Q787" s="29"/>
      <c r="R787" s="29"/>
      <c r="S787" s="29"/>
    </row>
    <row r="788" spans="13:19" ht="16.5" customHeight="1" x14ac:dyDescent="0.2">
      <c r="M788" s="29"/>
      <c r="N788" s="29"/>
      <c r="O788" s="29"/>
      <c r="P788" s="29"/>
      <c r="Q788" s="29"/>
      <c r="R788" s="29"/>
      <c r="S788" s="29"/>
    </row>
    <row r="789" spans="13:19" ht="16.5" customHeight="1" x14ac:dyDescent="0.2">
      <c r="M789" s="29"/>
      <c r="N789" s="29"/>
      <c r="O789" s="29"/>
      <c r="P789" s="29"/>
      <c r="Q789" s="29"/>
      <c r="R789" s="29"/>
      <c r="S789" s="29"/>
    </row>
    <row r="790" spans="13:19" ht="16.5" customHeight="1" x14ac:dyDescent="0.2">
      <c r="M790" s="29"/>
      <c r="N790" s="29"/>
      <c r="O790" s="29"/>
      <c r="P790" s="29"/>
      <c r="Q790" s="29"/>
      <c r="R790" s="29"/>
      <c r="S790" s="29"/>
    </row>
    <row r="791" spans="13:19" ht="16.5" customHeight="1" x14ac:dyDescent="0.2">
      <c r="M791" s="29"/>
      <c r="N791" s="29"/>
      <c r="O791" s="29"/>
      <c r="P791" s="29"/>
      <c r="Q791" s="29"/>
      <c r="R791" s="29"/>
      <c r="S791" s="29"/>
    </row>
    <row r="792" spans="13:19" ht="16.5" customHeight="1" x14ac:dyDescent="0.2">
      <c r="M792" s="29"/>
      <c r="N792" s="29"/>
      <c r="O792" s="29"/>
      <c r="P792" s="29"/>
      <c r="Q792" s="29"/>
      <c r="R792" s="29"/>
      <c r="S792" s="29"/>
    </row>
    <row r="793" spans="13:19" ht="16.5" customHeight="1" x14ac:dyDescent="0.2">
      <c r="M793" s="29"/>
      <c r="N793" s="29"/>
      <c r="O793" s="29"/>
      <c r="P793" s="29"/>
      <c r="Q793" s="29"/>
      <c r="R793" s="29"/>
      <c r="S793" s="29"/>
    </row>
    <row r="794" spans="13:19" ht="16.5" customHeight="1" x14ac:dyDescent="0.2">
      <c r="M794" s="29"/>
      <c r="N794" s="29"/>
      <c r="O794" s="29"/>
      <c r="P794" s="29"/>
      <c r="Q794" s="29"/>
      <c r="R794" s="29"/>
      <c r="S794" s="29"/>
    </row>
    <row r="795" spans="13:19" ht="16.5" customHeight="1" x14ac:dyDescent="0.2">
      <c r="M795" s="29"/>
      <c r="N795" s="29"/>
      <c r="O795" s="29"/>
      <c r="P795" s="29"/>
      <c r="Q795" s="29"/>
      <c r="R795" s="29"/>
      <c r="S795" s="29"/>
    </row>
    <row r="796" spans="13:19" ht="16.5" customHeight="1" x14ac:dyDescent="0.2">
      <c r="M796" s="29"/>
      <c r="N796" s="29"/>
      <c r="O796" s="29"/>
      <c r="P796" s="29"/>
      <c r="Q796" s="29"/>
      <c r="R796" s="29"/>
      <c r="S796" s="29"/>
    </row>
    <row r="797" spans="13:19" ht="16.5" customHeight="1" x14ac:dyDescent="0.2">
      <c r="M797" s="29"/>
      <c r="N797" s="29"/>
      <c r="O797" s="29"/>
      <c r="P797" s="29"/>
      <c r="Q797" s="29"/>
      <c r="R797" s="29"/>
      <c r="S797" s="29"/>
    </row>
    <row r="798" spans="13:19" ht="16.5" customHeight="1" x14ac:dyDescent="0.2">
      <c r="M798" s="29"/>
      <c r="N798" s="29"/>
      <c r="O798" s="29"/>
      <c r="P798" s="29"/>
      <c r="Q798" s="29"/>
      <c r="R798" s="29"/>
      <c r="S798" s="29"/>
    </row>
    <row r="799" spans="13:19" ht="16.5" customHeight="1" x14ac:dyDescent="0.2">
      <c r="M799" s="29"/>
      <c r="N799" s="29"/>
      <c r="O799" s="29"/>
      <c r="P799" s="29"/>
      <c r="Q799" s="29"/>
      <c r="R799" s="29"/>
      <c r="S799" s="29"/>
    </row>
    <row r="800" spans="13:19" ht="16.5" customHeight="1" x14ac:dyDescent="0.2">
      <c r="M800" s="29"/>
      <c r="N800" s="29"/>
      <c r="O800" s="29"/>
      <c r="P800" s="29"/>
      <c r="Q800" s="29"/>
      <c r="R800" s="29"/>
      <c r="S800" s="29"/>
    </row>
    <row r="801" spans="13:19" ht="16.5" customHeight="1" x14ac:dyDescent="0.2">
      <c r="M801" s="29"/>
      <c r="N801" s="29"/>
      <c r="O801" s="29"/>
      <c r="P801" s="29"/>
      <c r="Q801" s="29"/>
      <c r="R801" s="29"/>
      <c r="S801" s="29"/>
    </row>
    <row r="802" spans="13:19" ht="16.5" customHeight="1" x14ac:dyDescent="0.2">
      <c r="M802" s="29"/>
      <c r="N802" s="29"/>
      <c r="O802" s="29"/>
      <c r="P802" s="29"/>
      <c r="Q802" s="29"/>
      <c r="R802" s="29"/>
      <c r="S802" s="29"/>
    </row>
    <row r="803" spans="13:19" ht="16.5" customHeight="1" x14ac:dyDescent="0.2">
      <c r="M803" s="29"/>
      <c r="N803" s="29"/>
      <c r="O803" s="29"/>
      <c r="P803" s="29"/>
      <c r="Q803" s="29"/>
      <c r="R803" s="29"/>
      <c r="S803" s="29"/>
    </row>
    <row r="804" spans="13:19" ht="16.5" customHeight="1" x14ac:dyDescent="0.2">
      <c r="M804" s="29"/>
      <c r="N804" s="29"/>
      <c r="O804" s="29"/>
      <c r="P804" s="29"/>
      <c r="Q804" s="29"/>
      <c r="R804" s="29"/>
      <c r="S804" s="29"/>
    </row>
    <row r="805" spans="13:19" ht="16.5" customHeight="1" x14ac:dyDescent="0.2">
      <c r="M805" s="29"/>
      <c r="N805" s="29"/>
      <c r="O805" s="29"/>
      <c r="P805" s="29"/>
      <c r="Q805" s="29"/>
      <c r="R805" s="29"/>
      <c r="S805" s="29"/>
    </row>
    <row r="806" spans="13:19" ht="16.5" customHeight="1" x14ac:dyDescent="0.2">
      <c r="M806" s="29"/>
      <c r="N806" s="29"/>
      <c r="O806" s="29"/>
      <c r="P806" s="29"/>
      <c r="Q806" s="29"/>
      <c r="R806" s="29"/>
      <c r="S806" s="29"/>
    </row>
    <row r="807" spans="13:19" ht="16.5" customHeight="1" x14ac:dyDescent="0.2">
      <c r="M807" s="29"/>
      <c r="N807" s="29"/>
      <c r="O807" s="29"/>
      <c r="P807" s="29"/>
      <c r="Q807" s="29"/>
      <c r="R807" s="29"/>
      <c r="S807" s="29"/>
    </row>
    <row r="808" spans="13:19" ht="16.5" customHeight="1" x14ac:dyDescent="0.2">
      <c r="M808" s="29"/>
      <c r="N808" s="29"/>
      <c r="O808" s="29"/>
      <c r="P808" s="29"/>
      <c r="Q808" s="29"/>
      <c r="R808" s="29"/>
      <c r="S808" s="29"/>
    </row>
    <row r="809" spans="13:19" ht="16.5" customHeight="1" x14ac:dyDescent="0.2">
      <c r="M809" s="29"/>
      <c r="N809" s="29"/>
      <c r="O809" s="29"/>
      <c r="P809" s="29"/>
      <c r="Q809" s="29"/>
      <c r="R809" s="29"/>
      <c r="S809" s="29"/>
    </row>
    <row r="810" spans="13:19" ht="16.5" customHeight="1" x14ac:dyDescent="0.2">
      <c r="M810" s="29"/>
      <c r="N810" s="29"/>
      <c r="O810" s="29"/>
      <c r="P810" s="29"/>
      <c r="Q810" s="29"/>
      <c r="R810" s="29"/>
      <c r="S810" s="29"/>
    </row>
    <row r="811" spans="13:19" ht="16.5" customHeight="1" x14ac:dyDescent="0.2">
      <c r="M811" s="29"/>
      <c r="N811" s="29"/>
      <c r="O811" s="29"/>
      <c r="P811" s="29"/>
      <c r="Q811" s="29"/>
      <c r="R811" s="29"/>
      <c r="S811" s="29"/>
    </row>
    <row r="812" spans="13:19" ht="16.5" customHeight="1" x14ac:dyDescent="0.2">
      <c r="M812" s="29"/>
      <c r="N812" s="29"/>
      <c r="O812" s="29"/>
      <c r="P812" s="29"/>
      <c r="Q812" s="29"/>
      <c r="R812" s="29"/>
      <c r="S812" s="29"/>
    </row>
    <row r="813" spans="13:19" ht="16.5" customHeight="1" x14ac:dyDescent="0.2">
      <c r="M813" s="29"/>
      <c r="N813" s="29"/>
      <c r="O813" s="29"/>
      <c r="P813" s="29"/>
      <c r="Q813" s="29"/>
      <c r="R813" s="29"/>
      <c r="S813" s="29"/>
    </row>
    <row r="814" spans="13:19" ht="16.5" customHeight="1" x14ac:dyDescent="0.2">
      <c r="M814" s="29"/>
      <c r="N814" s="29"/>
      <c r="O814" s="29"/>
      <c r="P814" s="29"/>
      <c r="Q814" s="29"/>
      <c r="R814" s="29"/>
      <c r="S814" s="29"/>
    </row>
    <row r="815" spans="13:19" ht="16.5" customHeight="1" x14ac:dyDescent="0.2">
      <c r="M815" s="29"/>
      <c r="N815" s="29"/>
      <c r="O815" s="29"/>
      <c r="P815" s="29"/>
      <c r="Q815" s="29"/>
      <c r="R815" s="29"/>
      <c r="S815" s="29"/>
    </row>
    <row r="816" spans="13:19" ht="16.5" customHeight="1" x14ac:dyDescent="0.2">
      <c r="M816" s="29"/>
      <c r="N816" s="29"/>
      <c r="O816" s="29"/>
      <c r="P816" s="29"/>
      <c r="Q816" s="29"/>
      <c r="R816" s="29"/>
      <c r="S816" s="29"/>
    </row>
    <row r="817" spans="13:19" ht="16.5" customHeight="1" x14ac:dyDescent="0.2">
      <c r="M817" s="29"/>
      <c r="N817" s="29"/>
      <c r="O817" s="29"/>
      <c r="P817" s="29"/>
      <c r="Q817" s="29"/>
      <c r="R817" s="29"/>
      <c r="S817" s="29"/>
    </row>
    <row r="818" spans="13:19" ht="16.5" customHeight="1" x14ac:dyDescent="0.2">
      <c r="M818" s="29"/>
      <c r="N818" s="29"/>
      <c r="O818" s="29"/>
      <c r="P818" s="29"/>
      <c r="Q818" s="29"/>
      <c r="R818" s="29"/>
      <c r="S818" s="29"/>
    </row>
    <row r="819" spans="13:19" ht="16.5" customHeight="1" x14ac:dyDescent="0.2">
      <c r="M819" s="29"/>
      <c r="N819" s="29"/>
      <c r="O819" s="29"/>
      <c r="P819" s="29"/>
      <c r="Q819" s="29"/>
      <c r="R819" s="29"/>
      <c r="S819" s="29"/>
    </row>
    <row r="820" spans="13:19" ht="16.5" customHeight="1" x14ac:dyDescent="0.2">
      <c r="M820" s="29"/>
      <c r="N820" s="29"/>
      <c r="O820" s="29"/>
      <c r="P820" s="29"/>
      <c r="Q820" s="29"/>
      <c r="R820" s="29"/>
      <c r="S820" s="29"/>
    </row>
    <row r="821" spans="13:19" ht="16.5" customHeight="1" x14ac:dyDescent="0.2">
      <c r="M821" s="29"/>
      <c r="N821" s="29"/>
      <c r="O821" s="29"/>
      <c r="P821" s="29"/>
      <c r="Q821" s="29"/>
      <c r="R821" s="29"/>
      <c r="S821" s="29"/>
    </row>
    <row r="822" spans="13:19" ht="16.5" customHeight="1" x14ac:dyDescent="0.2">
      <c r="M822" s="29"/>
      <c r="N822" s="29"/>
      <c r="O822" s="29"/>
      <c r="P822" s="29"/>
      <c r="Q822" s="29"/>
      <c r="R822" s="29"/>
      <c r="S822" s="29"/>
    </row>
    <row r="823" spans="13:19" ht="16.5" customHeight="1" x14ac:dyDescent="0.2">
      <c r="M823" s="29"/>
      <c r="N823" s="29"/>
      <c r="O823" s="29"/>
      <c r="P823" s="29"/>
      <c r="Q823" s="29"/>
      <c r="R823" s="29"/>
      <c r="S823" s="29"/>
    </row>
    <row r="824" spans="13:19" ht="16.5" customHeight="1" x14ac:dyDescent="0.2">
      <c r="M824" s="29"/>
      <c r="N824" s="29"/>
      <c r="O824" s="29"/>
      <c r="P824" s="29"/>
      <c r="Q824" s="29"/>
      <c r="R824" s="29"/>
      <c r="S824" s="29"/>
    </row>
    <row r="825" spans="13:19" ht="16.5" customHeight="1" x14ac:dyDescent="0.2">
      <c r="M825" s="29"/>
      <c r="N825" s="29"/>
      <c r="O825" s="29"/>
      <c r="P825" s="29"/>
      <c r="Q825" s="29"/>
      <c r="R825" s="29"/>
      <c r="S825" s="29"/>
    </row>
    <row r="826" spans="13:19" ht="16.5" customHeight="1" x14ac:dyDescent="0.2">
      <c r="M826" s="29"/>
      <c r="N826" s="29"/>
      <c r="O826" s="29"/>
      <c r="P826" s="29"/>
      <c r="Q826" s="29"/>
      <c r="R826" s="29"/>
      <c r="S826" s="29"/>
    </row>
    <row r="827" spans="13:19" ht="16.5" customHeight="1" x14ac:dyDescent="0.2">
      <c r="M827" s="29"/>
      <c r="N827" s="29"/>
      <c r="O827" s="29"/>
      <c r="P827" s="29"/>
      <c r="Q827" s="29"/>
      <c r="R827" s="29"/>
      <c r="S827" s="29"/>
    </row>
    <row r="828" spans="13:19" ht="16.5" customHeight="1" x14ac:dyDescent="0.2">
      <c r="M828" s="29"/>
      <c r="N828" s="29"/>
      <c r="O828" s="29"/>
      <c r="P828" s="29"/>
      <c r="Q828" s="29"/>
      <c r="R828" s="29"/>
      <c r="S828" s="29"/>
    </row>
    <row r="829" spans="13:19" ht="16.5" customHeight="1" x14ac:dyDescent="0.2">
      <c r="M829" s="29"/>
      <c r="N829" s="29"/>
      <c r="O829" s="29"/>
      <c r="P829" s="29"/>
      <c r="Q829" s="29"/>
      <c r="R829" s="29"/>
      <c r="S829" s="29"/>
    </row>
    <row r="830" spans="13:19" ht="16.5" customHeight="1" x14ac:dyDescent="0.2">
      <c r="M830" s="29"/>
      <c r="N830" s="29"/>
      <c r="O830" s="29"/>
      <c r="P830" s="29"/>
      <c r="Q830" s="29"/>
      <c r="R830" s="29"/>
      <c r="S830" s="29"/>
    </row>
    <row r="831" spans="13:19" ht="16.5" customHeight="1" x14ac:dyDescent="0.2">
      <c r="M831" s="29"/>
      <c r="N831" s="29"/>
      <c r="O831" s="29"/>
      <c r="P831" s="29"/>
      <c r="Q831" s="29"/>
      <c r="R831" s="29"/>
      <c r="S831" s="29"/>
    </row>
    <row r="832" spans="13:19" ht="16.5" customHeight="1" x14ac:dyDescent="0.2">
      <c r="M832" s="29"/>
      <c r="N832" s="29"/>
      <c r="O832" s="29"/>
      <c r="P832" s="29"/>
      <c r="Q832" s="29"/>
      <c r="R832" s="29"/>
      <c r="S832" s="29"/>
    </row>
    <row r="833" spans="13:19" ht="16.5" customHeight="1" x14ac:dyDescent="0.2">
      <c r="M833" s="29"/>
      <c r="N833" s="29"/>
      <c r="O833" s="29"/>
      <c r="P833" s="29"/>
      <c r="Q833" s="29"/>
      <c r="R833" s="29"/>
      <c r="S833" s="29"/>
    </row>
    <row r="834" spans="13:19" ht="16.5" customHeight="1" x14ac:dyDescent="0.2">
      <c r="M834" s="29"/>
      <c r="N834" s="29"/>
      <c r="O834" s="29"/>
      <c r="P834" s="29"/>
      <c r="Q834" s="29"/>
      <c r="R834" s="29"/>
      <c r="S834" s="29"/>
    </row>
    <row r="835" spans="13:19" ht="16.5" customHeight="1" x14ac:dyDescent="0.2">
      <c r="M835" s="29"/>
      <c r="N835" s="29"/>
      <c r="O835" s="29"/>
      <c r="P835" s="29"/>
      <c r="Q835" s="29"/>
      <c r="R835" s="29"/>
      <c r="S835" s="29"/>
    </row>
    <row r="836" spans="13:19" ht="16.5" customHeight="1" x14ac:dyDescent="0.2">
      <c r="M836" s="29"/>
      <c r="N836" s="29"/>
      <c r="O836" s="29"/>
      <c r="P836" s="29"/>
      <c r="Q836" s="29"/>
      <c r="R836" s="29"/>
      <c r="S836" s="29"/>
    </row>
    <row r="837" spans="13:19" ht="16.5" customHeight="1" x14ac:dyDescent="0.2">
      <c r="M837" s="29"/>
      <c r="N837" s="29"/>
      <c r="O837" s="29"/>
      <c r="P837" s="29"/>
      <c r="Q837" s="29"/>
      <c r="R837" s="29"/>
      <c r="S837" s="29"/>
    </row>
    <row r="838" spans="13:19" ht="16.5" customHeight="1" x14ac:dyDescent="0.2">
      <c r="M838" s="29"/>
      <c r="N838" s="29"/>
      <c r="O838" s="29"/>
      <c r="P838" s="29"/>
      <c r="Q838" s="29"/>
      <c r="R838" s="29"/>
      <c r="S838" s="29"/>
    </row>
    <row r="839" spans="13:19" ht="16.5" customHeight="1" x14ac:dyDescent="0.2">
      <c r="M839" s="29"/>
      <c r="N839" s="29"/>
      <c r="O839" s="29"/>
      <c r="P839" s="29"/>
      <c r="Q839" s="29"/>
      <c r="R839" s="29"/>
      <c r="S839" s="29"/>
    </row>
    <row r="840" spans="13:19" ht="16.5" customHeight="1" x14ac:dyDescent="0.2">
      <c r="M840" s="29"/>
      <c r="N840" s="29"/>
      <c r="O840" s="29"/>
      <c r="P840" s="29"/>
      <c r="Q840" s="29"/>
      <c r="R840" s="29"/>
      <c r="S840" s="29"/>
    </row>
    <row r="841" spans="13:19" ht="16.5" customHeight="1" x14ac:dyDescent="0.2">
      <c r="M841" s="29"/>
      <c r="N841" s="29"/>
      <c r="O841" s="29"/>
      <c r="P841" s="29"/>
      <c r="Q841" s="29"/>
      <c r="R841" s="29"/>
      <c r="S841" s="29"/>
    </row>
    <row r="842" spans="13:19" ht="16.5" customHeight="1" x14ac:dyDescent="0.2">
      <c r="M842" s="29"/>
      <c r="N842" s="29"/>
      <c r="O842" s="29"/>
      <c r="P842" s="29"/>
      <c r="Q842" s="29"/>
      <c r="R842" s="29"/>
      <c r="S842" s="29"/>
    </row>
    <row r="843" spans="13:19" ht="16.5" customHeight="1" x14ac:dyDescent="0.2">
      <c r="M843" s="29"/>
      <c r="N843" s="29"/>
      <c r="O843" s="29"/>
      <c r="P843" s="29"/>
      <c r="Q843" s="29"/>
      <c r="R843" s="29"/>
      <c r="S843" s="29"/>
    </row>
    <row r="844" spans="13:19" ht="16.5" customHeight="1" x14ac:dyDescent="0.2">
      <c r="M844" s="29"/>
      <c r="N844" s="29"/>
      <c r="O844" s="29"/>
      <c r="P844" s="29"/>
      <c r="Q844" s="29"/>
      <c r="R844" s="29"/>
      <c r="S844" s="29"/>
    </row>
    <row r="845" spans="13:19" ht="16.5" customHeight="1" x14ac:dyDescent="0.2">
      <c r="M845" s="29"/>
      <c r="N845" s="29"/>
      <c r="O845" s="29"/>
      <c r="P845" s="29"/>
      <c r="Q845" s="29"/>
      <c r="R845" s="29"/>
      <c r="S845" s="29"/>
    </row>
    <row r="846" spans="13:19" ht="16.5" customHeight="1" x14ac:dyDescent="0.2">
      <c r="M846" s="29"/>
      <c r="N846" s="29"/>
      <c r="O846" s="29"/>
      <c r="P846" s="29"/>
      <c r="Q846" s="29"/>
      <c r="R846" s="29"/>
      <c r="S846" s="29"/>
    </row>
    <row r="847" spans="13:19" ht="16.5" customHeight="1" x14ac:dyDescent="0.2">
      <c r="M847" s="29"/>
      <c r="N847" s="29"/>
      <c r="O847" s="29"/>
      <c r="P847" s="29"/>
      <c r="Q847" s="29"/>
      <c r="R847" s="29"/>
      <c r="S847" s="29"/>
    </row>
    <row r="848" spans="13:19" ht="16.5" customHeight="1" x14ac:dyDescent="0.2">
      <c r="M848" s="29"/>
      <c r="N848" s="29"/>
      <c r="O848" s="29"/>
      <c r="P848" s="29"/>
      <c r="Q848" s="29"/>
      <c r="R848" s="29"/>
      <c r="S848" s="29"/>
    </row>
    <row r="849" spans="13:19" ht="16.5" customHeight="1" x14ac:dyDescent="0.2">
      <c r="M849" s="29"/>
      <c r="N849" s="29"/>
      <c r="O849" s="29"/>
      <c r="P849" s="29"/>
      <c r="Q849" s="29"/>
      <c r="R849" s="29"/>
      <c r="S849" s="29"/>
    </row>
    <row r="850" spans="13:19" ht="16.5" customHeight="1" x14ac:dyDescent="0.2">
      <c r="M850" s="29"/>
      <c r="N850" s="29"/>
      <c r="O850" s="29"/>
      <c r="P850" s="29"/>
      <c r="Q850" s="29"/>
      <c r="R850" s="29"/>
      <c r="S850" s="29"/>
    </row>
    <row r="851" spans="13:19" ht="16.5" customHeight="1" x14ac:dyDescent="0.2">
      <c r="M851" s="29"/>
      <c r="N851" s="29"/>
      <c r="O851" s="29"/>
      <c r="P851" s="29"/>
      <c r="Q851" s="29"/>
      <c r="R851" s="29"/>
      <c r="S851" s="29"/>
    </row>
    <row r="852" spans="13:19" ht="16.5" customHeight="1" x14ac:dyDescent="0.2">
      <c r="M852" s="29"/>
      <c r="N852" s="29"/>
      <c r="O852" s="29"/>
      <c r="P852" s="29"/>
      <c r="Q852" s="29"/>
      <c r="R852" s="29"/>
      <c r="S852" s="29"/>
    </row>
    <row r="853" spans="13:19" ht="16.5" customHeight="1" x14ac:dyDescent="0.2">
      <c r="M853" s="29"/>
      <c r="N853" s="29"/>
      <c r="O853" s="29"/>
      <c r="P853" s="29"/>
      <c r="Q853" s="29"/>
      <c r="R853" s="29"/>
      <c r="S853" s="29"/>
    </row>
    <row r="854" spans="13:19" ht="16.5" customHeight="1" x14ac:dyDescent="0.2">
      <c r="M854" s="29"/>
      <c r="N854" s="29"/>
      <c r="O854" s="29"/>
      <c r="P854" s="29"/>
      <c r="Q854" s="29"/>
      <c r="R854" s="29"/>
      <c r="S854" s="29"/>
    </row>
    <row r="855" spans="13:19" ht="16.5" customHeight="1" x14ac:dyDescent="0.2">
      <c r="M855" s="29"/>
      <c r="N855" s="29"/>
      <c r="O855" s="29"/>
      <c r="P855" s="29"/>
      <c r="Q855" s="29"/>
      <c r="R855" s="29"/>
      <c r="S855" s="29"/>
    </row>
    <row r="856" spans="13:19" ht="16.5" customHeight="1" x14ac:dyDescent="0.2">
      <c r="M856" s="29"/>
      <c r="N856" s="29"/>
      <c r="O856" s="29"/>
      <c r="P856" s="29"/>
      <c r="Q856" s="29"/>
      <c r="R856" s="29"/>
      <c r="S856" s="29"/>
    </row>
    <row r="857" spans="13:19" ht="16.5" customHeight="1" x14ac:dyDescent="0.2">
      <c r="M857" s="29"/>
      <c r="N857" s="29"/>
      <c r="O857" s="29"/>
      <c r="P857" s="29"/>
      <c r="Q857" s="29"/>
      <c r="R857" s="29"/>
      <c r="S857" s="29"/>
    </row>
    <row r="858" spans="13:19" ht="16.5" customHeight="1" x14ac:dyDescent="0.2">
      <c r="M858" s="29"/>
      <c r="N858" s="29"/>
      <c r="O858" s="29"/>
      <c r="P858" s="29"/>
      <c r="Q858" s="29"/>
      <c r="R858" s="29"/>
      <c r="S858" s="29"/>
    </row>
    <row r="859" spans="13:19" ht="16.5" customHeight="1" x14ac:dyDescent="0.2">
      <c r="M859" s="29"/>
      <c r="N859" s="29"/>
      <c r="O859" s="29"/>
      <c r="P859" s="29"/>
      <c r="Q859" s="29"/>
      <c r="R859" s="29"/>
      <c r="S859" s="29"/>
    </row>
    <row r="860" spans="13:19" ht="16.5" customHeight="1" x14ac:dyDescent="0.2">
      <c r="M860" s="29"/>
      <c r="N860" s="29"/>
      <c r="O860" s="29"/>
      <c r="P860" s="29"/>
      <c r="Q860" s="29"/>
      <c r="R860" s="29"/>
      <c r="S860" s="29"/>
    </row>
    <row r="861" spans="13:19" ht="16.5" customHeight="1" x14ac:dyDescent="0.2">
      <c r="M861" s="29"/>
      <c r="N861" s="29"/>
      <c r="O861" s="29"/>
      <c r="P861" s="29"/>
      <c r="Q861" s="29"/>
      <c r="R861" s="29"/>
      <c r="S861" s="29"/>
    </row>
    <row r="862" spans="13:19" ht="16.5" customHeight="1" x14ac:dyDescent="0.2">
      <c r="M862" s="29"/>
      <c r="N862" s="29"/>
      <c r="O862" s="29"/>
      <c r="P862" s="29"/>
      <c r="Q862" s="29"/>
      <c r="R862" s="29"/>
      <c r="S862" s="29"/>
    </row>
    <row r="863" spans="13:19" ht="16.5" customHeight="1" x14ac:dyDescent="0.2">
      <c r="M863" s="29"/>
      <c r="N863" s="29"/>
      <c r="O863" s="29"/>
      <c r="P863" s="29"/>
      <c r="Q863" s="29"/>
      <c r="R863" s="29"/>
      <c r="S863" s="29"/>
    </row>
    <row r="864" spans="13:19" ht="16.5" customHeight="1" x14ac:dyDescent="0.2">
      <c r="M864" s="29"/>
      <c r="N864" s="29"/>
      <c r="O864" s="29"/>
      <c r="P864" s="29"/>
      <c r="Q864" s="29"/>
      <c r="R864" s="29"/>
      <c r="S864" s="29"/>
    </row>
    <row r="865" spans="13:19" ht="16.5" customHeight="1" x14ac:dyDescent="0.2">
      <c r="M865" s="29"/>
      <c r="N865" s="29"/>
      <c r="O865" s="29"/>
      <c r="P865" s="29"/>
      <c r="Q865" s="29"/>
      <c r="R865" s="29"/>
      <c r="S865" s="29"/>
    </row>
    <row r="866" spans="13:19" ht="16.5" customHeight="1" x14ac:dyDescent="0.2">
      <c r="M866" s="29"/>
      <c r="N866" s="29"/>
      <c r="O866" s="29"/>
      <c r="P866" s="29"/>
      <c r="Q866" s="29"/>
      <c r="R866" s="29"/>
      <c r="S866" s="29"/>
    </row>
    <row r="867" spans="13:19" ht="16.5" customHeight="1" x14ac:dyDescent="0.2">
      <c r="M867" s="29"/>
      <c r="N867" s="29"/>
      <c r="O867" s="29"/>
      <c r="P867" s="29"/>
      <c r="Q867" s="29"/>
      <c r="R867" s="29"/>
      <c r="S867" s="29"/>
    </row>
    <row r="868" spans="13:19" ht="16.5" customHeight="1" x14ac:dyDescent="0.2">
      <c r="M868" s="29"/>
      <c r="N868" s="29"/>
      <c r="O868" s="29"/>
      <c r="P868" s="29"/>
      <c r="Q868" s="29"/>
      <c r="R868" s="29"/>
      <c r="S868" s="29"/>
    </row>
    <row r="869" spans="13:19" ht="16.5" customHeight="1" x14ac:dyDescent="0.2">
      <c r="M869" s="29"/>
      <c r="N869" s="29"/>
      <c r="O869" s="29"/>
      <c r="P869" s="29"/>
      <c r="Q869" s="29"/>
      <c r="R869" s="29"/>
      <c r="S869" s="29"/>
    </row>
    <row r="870" spans="13:19" ht="16.5" customHeight="1" x14ac:dyDescent="0.2">
      <c r="M870" s="29"/>
      <c r="N870" s="29"/>
      <c r="O870" s="29"/>
      <c r="P870" s="29"/>
      <c r="Q870" s="29"/>
      <c r="R870" s="29"/>
      <c r="S870" s="29"/>
    </row>
    <row r="871" spans="13:19" ht="16.5" customHeight="1" x14ac:dyDescent="0.2">
      <c r="M871" s="29"/>
      <c r="N871" s="29"/>
      <c r="O871" s="29"/>
      <c r="P871" s="29"/>
      <c r="Q871" s="29"/>
      <c r="R871" s="29"/>
      <c r="S871" s="29"/>
    </row>
    <row r="872" spans="13:19" ht="16.5" customHeight="1" x14ac:dyDescent="0.2">
      <c r="M872" s="29"/>
      <c r="N872" s="29"/>
      <c r="O872" s="29"/>
      <c r="P872" s="29"/>
      <c r="Q872" s="29"/>
      <c r="R872" s="29"/>
      <c r="S872" s="29"/>
    </row>
    <row r="873" spans="13:19" ht="16.5" customHeight="1" x14ac:dyDescent="0.2">
      <c r="M873" s="29"/>
      <c r="N873" s="29"/>
      <c r="O873" s="29"/>
      <c r="P873" s="29"/>
      <c r="Q873" s="29"/>
      <c r="R873" s="29"/>
      <c r="S873" s="29"/>
    </row>
    <row r="874" spans="13:19" ht="16.5" customHeight="1" x14ac:dyDescent="0.2">
      <c r="M874" s="29"/>
      <c r="N874" s="29"/>
      <c r="O874" s="29"/>
      <c r="P874" s="29"/>
      <c r="Q874" s="29"/>
      <c r="R874" s="29"/>
      <c r="S874" s="29"/>
    </row>
    <row r="875" spans="13:19" ht="16.5" customHeight="1" x14ac:dyDescent="0.2">
      <c r="M875" s="29"/>
      <c r="N875" s="29"/>
      <c r="O875" s="29"/>
      <c r="P875" s="29"/>
      <c r="Q875" s="29"/>
      <c r="R875" s="29"/>
      <c r="S875" s="29"/>
    </row>
    <row r="876" spans="13:19" ht="16.5" customHeight="1" x14ac:dyDescent="0.2">
      <c r="M876" s="29"/>
      <c r="N876" s="29"/>
      <c r="O876" s="29"/>
      <c r="P876" s="29"/>
      <c r="Q876" s="29"/>
      <c r="R876" s="29"/>
      <c r="S876" s="29"/>
    </row>
    <row r="877" spans="13:19" ht="16.5" customHeight="1" x14ac:dyDescent="0.2">
      <c r="M877" s="29"/>
      <c r="N877" s="29"/>
      <c r="O877" s="29"/>
      <c r="P877" s="29"/>
      <c r="Q877" s="29"/>
      <c r="R877" s="29"/>
      <c r="S877" s="29"/>
    </row>
    <row r="878" spans="13:19" ht="16.5" customHeight="1" x14ac:dyDescent="0.2">
      <c r="M878" s="29"/>
      <c r="N878" s="29"/>
      <c r="O878" s="29"/>
      <c r="P878" s="29"/>
      <c r="Q878" s="29"/>
      <c r="R878" s="29"/>
      <c r="S878" s="29"/>
    </row>
    <row r="879" spans="13:19" ht="16.5" customHeight="1" x14ac:dyDescent="0.2">
      <c r="M879" s="29"/>
      <c r="N879" s="29"/>
      <c r="O879" s="29"/>
      <c r="P879" s="29"/>
      <c r="Q879" s="29"/>
      <c r="R879" s="29"/>
      <c r="S879" s="29"/>
    </row>
    <row r="880" spans="13:19" ht="16.5" customHeight="1" x14ac:dyDescent="0.2">
      <c r="M880" s="29"/>
      <c r="N880" s="29"/>
      <c r="O880" s="29"/>
      <c r="P880" s="29"/>
      <c r="Q880" s="29"/>
      <c r="R880" s="29"/>
      <c r="S880" s="29"/>
    </row>
    <row r="881" spans="13:19" ht="16.5" customHeight="1" x14ac:dyDescent="0.2">
      <c r="M881" s="29"/>
      <c r="N881" s="29"/>
      <c r="O881" s="29"/>
      <c r="P881" s="29"/>
      <c r="Q881" s="29"/>
      <c r="R881" s="29"/>
      <c r="S881" s="29"/>
    </row>
    <row r="882" spans="13:19" ht="16.5" customHeight="1" x14ac:dyDescent="0.2">
      <c r="M882" s="29"/>
      <c r="N882" s="29"/>
      <c r="O882" s="29"/>
      <c r="P882" s="29"/>
      <c r="Q882" s="29"/>
      <c r="R882" s="29"/>
      <c r="S882" s="29"/>
    </row>
    <row r="883" spans="13:19" ht="16.5" customHeight="1" x14ac:dyDescent="0.2">
      <c r="M883" s="29"/>
      <c r="N883" s="29"/>
      <c r="O883" s="29"/>
      <c r="P883" s="29"/>
      <c r="Q883" s="29"/>
      <c r="R883" s="29"/>
      <c r="S883" s="29"/>
    </row>
    <row r="884" spans="13:19" ht="16.5" customHeight="1" x14ac:dyDescent="0.2">
      <c r="M884" s="29"/>
      <c r="N884" s="29"/>
      <c r="O884" s="29"/>
      <c r="P884" s="29"/>
      <c r="Q884" s="29"/>
      <c r="R884" s="29"/>
      <c r="S884" s="29"/>
    </row>
    <row r="885" spans="13:19" ht="16.5" customHeight="1" x14ac:dyDescent="0.2">
      <c r="M885" s="29"/>
      <c r="N885" s="29"/>
      <c r="O885" s="29"/>
      <c r="P885" s="29"/>
      <c r="Q885" s="29"/>
      <c r="R885" s="29"/>
      <c r="S885" s="29"/>
    </row>
    <row r="886" spans="13:19" ht="16.5" customHeight="1" x14ac:dyDescent="0.2">
      <c r="M886" s="29"/>
      <c r="N886" s="29"/>
      <c r="O886" s="29"/>
      <c r="P886" s="29"/>
      <c r="Q886" s="29"/>
      <c r="R886" s="29"/>
      <c r="S886" s="29"/>
    </row>
    <row r="887" spans="13:19" ht="16.5" customHeight="1" x14ac:dyDescent="0.2">
      <c r="M887" s="29"/>
      <c r="N887" s="29"/>
      <c r="O887" s="29"/>
      <c r="P887" s="29"/>
      <c r="Q887" s="29"/>
      <c r="R887" s="29"/>
      <c r="S887" s="29"/>
    </row>
    <row r="888" spans="13:19" ht="16.5" customHeight="1" x14ac:dyDescent="0.2">
      <c r="M888" s="29"/>
      <c r="N888" s="29"/>
      <c r="O888" s="29"/>
      <c r="P888" s="29"/>
      <c r="Q888" s="29"/>
      <c r="R888" s="29"/>
      <c r="S888" s="29"/>
    </row>
    <row r="889" spans="13:19" ht="16.5" customHeight="1" x14ac:dyDescent="0.2">
      <c r="M889" s="29"/>
      <c r="N889" s="29"/>
      <c r="O889" s="29"/>
      <c r="P889" s="29"/>
      <c r="Q889" s="29"/>
      <c r="R889" s="29"/>
      <c r="S889" s="29"/>
    </row>
    <row r="890" spans="13:19" ht="16.5" customHeight="1" x14ac:dyDescent="0.2">
      <c r="M890" s="29"/>
      <c r="N890" s="29"/>
      <c r="O890" s="29"/>
      <c r="P890" s="29"/>
      <c r="Q890" s="29"/>
      <c r="R890" s="29"/>
      <c r="S890" s="29"/>
    </row>
    <row r="891" spans="13:19" ht="16.5" customHeight="1" x14ac:dyDescent="0.2">
      <c r="M891" s="29"/>
      <c r="N891" s="29"/>
      <c r="O891" s="29"/>
      <c r="P891" s="29"/>
      <c r="Q891" s="29"/>
      <c r="R891" s="29"/>
      <c r="S891" s="29"/>
    </row>
    <row r="892" spans="13:19" ht="16.5" customHeight="1" x14ac:dyDescent="0.2">
      <c r="M892" s="29"/>
      <c r="N892" s="29"/>
      <c r="O892" s="29"/>
      <c r="P892" s="29"/>
      <c r="Q892" s="29"/>
      <c r="R892" s="29"/>
      <c r="S892" s="29"/>
    </row>
    <row r="893" spans="13:19" ht="16.5" customHeight="1" x14ac:dyDescent="0.2">
      <c r="M893" s="29"/>
      <c r="N893" s="29"/>
      <c r="O893" s="29"/>
      <c r="P893" s="29"/>
      <c r="Q893" s="29"/>
      <c r="R893" s="29"/>
      <c r="S893" s="29"/>
    </row>
    <row r="894" spans="13:19" ht="16.5" customHeight="1" x14ac:dyDescent="0.2">
      <c r="M894" s="29"/>
      <c r="N894" s="29"/>
      <c r="O894" s="29"/>
      <c r="P894" s="29"/>
      <c r="Q894" s="29"/>
      <c r="R894" s="29"/>
      <c r="S894" s="29"/>
    </row>
    <row r="895" spans="13:19" ht="16.5" customHeight="1" x14ac:dyDescent="0.2">
      <c r="M895" s="29"/>
      <c r="N895" s="29"/>
      <c r="O895" s="29"/>
      <c r="P895" s="29"/>
      <c r="Q895" s="29"/>
      <c r="R895" s="29"/>
      <c r="S895" s="29"/>
    </row>
    <row r="896" spans="13:19" ht="16.5" customHeight="1" x14ac:dyDescent="0.2">
      <c r="M896" s="29"/>
      <c r="N896" s="29"/>
      <c r="O896" s="29"/>
      <c r="P896" s="29"/>
      <c r="Q896" s="29"/>
      <c r="R896" s="29"/>
      <c r="S896" s="29"/>
    </row>
    <row r="897" spans="13:19" ht="16.5" customHeight="1" x14ac:dyDescent="0.2">
      <c r="M897" s="29"/>
      <c r="N897" s="29"/>
      <c r="O897" s="29"/>
      <c r="P897" s="29"/>
      <c r="Q897" s="29"/>
      <c r="R897" s="29"/>
      <c r="S897" s="29"/>
    </row>
    <row r="898" spans="13:19" ht="16.5" customHeight="1" x14ac:dyDescent="0.2">
      <c r="M898" s="29"/>
      <c r="N898" s="29"/>
      <c r="O898" s="29"/>
      <c r="P898" s="29"/>
      <c r="Q898" s="29"/>
      <c r="R898" s="29"/>
      <c r="S898" s="29"/>
    </row>
    <row r="899" spans="13:19" ht="16.5" customHeight="1" x14ac:dyDescent="0.2">
      <c r="M899" s="29"/>
      <c r="N899" s="29"/>
      <c r="O899" s="29"/>
      <c r="P899" s="29"/>
      <c r="Q899" s="29"/>
      <c r="R899" s="29"/>
      <c r="S899" s="29"/>
    </row>
    <row r="900" spans="13:19" ht="16.5" customHeight="1" x14ac:dyDescent="0.2">
      <c r="M900" s="29"/>
      <c r="N900" s="29"/>
      <c r="O900" s="29"/>
      <c r="P900" s="29"/>
      <c r="Q900" s="29"/>
      <c r="R900" s="29"/>
      <c r="S900" s="29"/>
    </row>
    <row r="901" spans="13:19" ht="16.5" customHeight="1" x14ac:dyDescent="0.2">
      <c r="M901" s="29"/>
      <c r="N901" s="29"/>
      <c r="O901" s="29"/>
      <c r="P901" s="29"/>
      <c r="Q901" s="29"/>
      <c r="R901" s="29"/>
      <c r="S901" s="29"/>
    </row>
    <row r="902" spans="13:19" ht="16.5" customHeight="1" x14ac:dyDescent="0.2">
      <c r="M902" s="29"/>
      <c r="N902" s="29"/>
      <c r="O902" s="29"/>
      <c r="P902" s="29"/>
      <c r="Q902" s="29"/>
      <c r="R902" s="29"/>
      <c r="S902" s="29"/>
    </row>
    <row r="903" spans="13:19" ht="16.5" customHeight="1" x14ac:dyDescent="0.2">
      <c r="M903" s="29"/>
      <c r="N903" s="29"/>
      <c r="O903" s="29"/>
      <c r="P903" s="29"/>
      <c r="Q903" s="29"/>
      <c r="R903" s="29"/>
      <c r="S903" s="29"/>
    </row>
    <row r="904" spans="13:19" ht="16.5" customHeight="1" x14ac:dyDescent="0.2">
      <c r="M904" s="29"/>
      <c r="N904" s="29"/>
      <c r="O904" s="29"/>
      <c r="P904" s="29"/>
      <c r="Q904" s="29"/>
      <c r="R904" s="29"/>
      <c r="S904" s="29"/>
    </row>
    <row r="905" spans="13:19" ht="16.5" customHeight="1" x14ac:dyDescent="0.2">
      <c r="M905" s="29"/>
      <c r="N905" s="29"/>
      <c r="O905" s="29"/>
      <c r="P905" s="29"/>
      <c r="Q905" s="29"/>
      <c r="R905" s="29"/>
      <c r="S905" s="29"/>
    </row>
    <row r="906" spans="13:19" ht="16.5" customHeight="1" x14ac:dyDescent="0.2">
      <c r="M906" s="29"/>
      <c r="N906" s="29"/>
      <c r="O906" s="29"/>
      <c r="P906" s="29"/>
      <c r="Q906" s="29"/>
      <c r="R906" s="29"/>
      <c r="S906" s="29"/>
    </row>
    <row r="907" spans="13:19" ht="16.5" customHeight="1" x14ac:dyDescent="0.2">
      <c r="M907" s="29"/>
      <c r="N907" s="29"/>
      <c r="O907" s="29"/>
      <c r="P907" s="29"/>
      <c r="Q907" s="29"/>
      <c r="R907" s="29"/>
      <c r="S907" s="29"/>
    </row>
    <row r="908" spans="13:19" ht="16.5" customHeight="1" x14ac:dyDescent="0.2">
      <c r="M908" s="29"/>
      <c r="N908" s="29"/>
      <c r="O908" s="29"/>
      <c r="P908" s="29"/>
      <c r="Q908" s="29"/>
      <c r="R908" s="29"/>
      <c r="S908" s="29"/>
    </row>
    <row r="909" spans="13:19" ht="16.5" customHeight="1" x14ac:dyDescent="0.2">
      <c r="M909" s="29"/>
      <c r="N909" s="29"/>
      <c r="O909" s="29"/>
      <c r="P909" s="29"/>
      <c r="Q909" s="29"/>
      <c r="R909" s="29"/>
      <c r="S909" s="29"/>
    </row>
    <row r="910" spans="13:19" ht="16.5" customHeight="1" x14ac:dyDescent="0.2">
      <c r="M910" s="29"/>
      <c r="N910" s="29"/>
      <c r="O910" s="29"/>
      <c r="P910" s="29"/>
      <c r="Q910" s="29"/>
      <c r="R910" s="29"/>
      <c r="S910" s="29"/>
    </row>
    <row r="911" spans="13:19" ht="16.5" customHeight="1" x14ac:dyDescent="0.2">
      <c r="M911" s="29"/>
      <c r="N911" s="29"/>
      <c r="O911" s="29"/>
      <c r="P911" s="29"/>
      <c r="Q911" s="29"/>
      <c r="R911" s="29"/>
      <c r="S911" s="29"/>
    </row>
    <row r="912" spans="13:19" ht="16.5" customHeight="1" x14ac:dyDescent="0.2">
      <c r="M912" s="29"/>
      <c r="N912" s="29"/>
      <c r="O912" s="29"/>
      <c r="P912" s="29"/>
      <c r="Q912" s="29"/>
      <c r="R912" s="29"/>
      <c r="S912" s="29"/>
    </row>
    <row r="913" spans="13:19" ht="16.5" customHeight="1" x14ac:dyDescent="0.2">
      <c r="M913" s="29"/>
      <c r="N913" s="29"/>
      <c r="O913" s="29"/>
      <c r="P913" s="29"/>
      <c r="Q913" s="29"/>
      <c r="R913" s="29"/>
      <c r="S913" s="29"/>
    </row>
    <row r="914" spans="13:19" ht="16.5" customHeight="1" x14ac:dyDescent="0.2">
      <c r="M914" s="29"/>
      <c r="N914" s="29"/>
      <c r="O914" s="29"/>
      <c r="P914" s="29"/>
      <c r="Q914" s="29"/>
      <c r="R914" s="29"/>
      <c r="S914" s="29"/>
    </row>
    <row r="915" spans="13:19" ht="16.5" customHeight="1" x14ac:dyDescent="0.2">
      <c r="M915" s="29"/>
      <c r="N915" s="29"/>
      <c r="O915" s="29"/>
      <c r="P915" s="29"/>
      <c r="Q915" s="29"/>
      <c r="R915" s="29"/>
      <c r="S915" s="29"/>
    </row>
    <row r="916" spans="13:19" ht="16.5" customHeight="1" x14ac:dyDescent="0.2">
      <c r="M916" s="29"/>
      <c r="N916" s="29"/>
      <c r="O916" s="29"/>
      <c r="P916" s="29"/>
      <c r="Q916" s="29"/>
      <c r="R916" s="29"/>
      <c r="S916" s="29"/>
    </row>
    <row r="917" spans="13:19" ht="16.5" customHeight="1" x14ac:dyDescent="0.2">
      <c r="M917" s="29"/>
      <c r="N917" s="29"/>
      <c r="O917" s="29"/>
      <c r="P917" s="29"/>
      <c r="Q917" s="29"/>
      <c r="R917" s="29"/>
      <c r="S917" s="29"/>
    </row>
    <row r="918" spans="13:19" ht="16.5" customHeight="1" x14ac:dyDescent="0.2">
      <c r="M918" s="29"/>
      <c r="N918" s="29"/>
      <c r="O918" s="29"/>
      <c r="P918" s="29"/>
      <c r="Q918" s="29"/>
      <c r="R918" s="29"/>
      <c r="S918" s="29"/>
    </row>
    <row r="919" spans="13:19" ht="16.5" customHeight="1" x14ac:dyDescent="0.2">
      <c r="M919" s="29"/>
      <c r="N919" s="29"/>
      <c r="O919" s="29"/>
      <c r="P919" s="29"/>
      <c r="Q919" s="29"/>
      <c r="R919" s="29"/>
      <c r="S919" s="29"/>
    </row>
    <row r="920" spans="13:19" ht="16.5" customHeight="1" x14ac:dyDescent="0.2">
      <c r="M920" s="29"/>
      <c r="N920" s="29"/>
      <c r="O920" s="29"/>
      <c r="P920" s="29"/>
      <c r="Q920" s="29"/>
      <c r="R920" s="29"/>
      <c r="S920" s="29"/>
    </row>
    <row r="921" spans="13:19" ht="16.5" customHeight="1" x14ac:dyDescent="0.2">
      <c r="M921" s="29"/>
      <c r="N921" s="29"/>
      <c r="O921" s="29"/>
      <c r="P921" s="29"/>
      <c r="Q921" s="29"/>
      <c r="R921" s="29"/>
      <c r="S921" s="29"/>
    </row>
    <row r="922" spans="13:19" ht="16.5" customHeight="1" x14ac:dyDescent="0.2">
      <c r="M922" s="29"/>
      <c r="N922" s="29"/>
      <c r="O922" s="29"/>
      <c r="P922" s="29"/>
      <c r="Q922" s="29"/>
      <c r="R922" s="29"/>
      <c r="S922" s="29"/>
    </row>
    <row r="923" spans="13:19" ht="16.5" customHeight="1" x14ac:dyDescent="0.2">
      <c r="M923" s="29"/>
      <c r="N923" s="29"/>
      <c r="O923" s="29"/>
      <c r="P923" s="29"/>
      <c r="Q923" s="29"/>
      <c r="R923" s="29"/>
      <c r="S923" s="29"/>
    </row>
    <row r="924" spans="13:19" ht="16.5" customHeight="1" x14ac:dyDescent="0.2">
      <c r="M924" s="29"/>
      <c r="N924" s="29"/>
      <c r="O924" s="29"/>
      <c r="P924" s="29"/>
      <c r="Q924" s="29"/>
      <c r="R924" s="29"/>
      <c r="S924" s="29"/>
    </row>
    <row r="925" spans="13:19" ht="16.5" customHeight="1" x14ac:dyDescent="0.2">
      <c r="M925" s="29"/>
      <c r="N925" s="29"/>
      <c r="O925" s="29"/>
      <c r="P925" s="29"/>
      <c r="Q925" s="29"/>
      <c r="R925" s="29"/>
      <c r="S925" s="29"/>
    </row>
    <row r="926" spans="13:19" ht="16.5" customHeight="1" x14ac:dyDescent="0.2">
      <c r="M926" s="29"/>
      <c r="N926" s="29"/>
      <c r="O926" s="29"/>
      <c r="P926" s="29"/>
      <c r="Q926" s="29"/>
      <c r="R926" s="29"/>
      <c r="S926" s="29"/>
    </row>
    <row r="927" spans="13:19" ht="16.5" customHeight="1" x14ac:dyDescent="0.2">
      <c r="M927" s="29"/>
      <c r="N927" s="29"/>
      <c r="O927" s="29"/>
      <c r="P927" s="29"/>
      <c r="Q927" s="29"/>
      <c r="R927" s="29"/>
      <c r="S927" s="29"/>
    </row>
    <row r="928" spans="13:19" ht="16.5" customHeight="1" x14ac:dyDescent="0.2">
      <c r="M928" s="29"/>
      <c r="N928" s="29"/>
      <c r="O928" s="29"/>
      <c r="P928" s="29"/>
      <c r="Q928" s="29"/>
      <c r="R928" s="29"/>
      <c r="S928" s="29"/>
    </row>
    <row r="929" spans="13:19" ht="16.5" customHeight="1" x14ac:dyDescent="0.2">
      <c r="M929" s="29"/>
      <c r="N929" s="29"/>
      <c r="O929" s="29"/>
      <c r="P929" s="29"/>
      <c r="Q929" s="29"/>
      <c r="R929" s="29"/>
      <c r="S929" s="29"/>
    </row>
    <row r="930" spans="13:19" ht="16.5" customHeight="1" x14ac:dyDescent="0.2">
      <c r="M930" s="29"/>
      <c r="N930" s="29"/>
      <c r="O930" s="29"/>
      <c r="P930" s="29"/>
      <c r="Q930" s="29"/>
      <c r="R930" s="29"/>
      <c r="S930" s="29"/>
    </row>
    <row r="931" spans="13:19" ht="16.5" customHeight="1" x14ac:dyDescent="0.2">
      <c r="M931" s="29"/>
      <c r="N931" s="29"/>
      <c r="O931" s="29"/>
      <c r="P931" s="29"/>
      <c r="Q931" s="29"/>
      <c r="R931" s="29"/>
      <c r="S931" s="29"/>
    </row>
    <row r="932" spans="13:19" ht="16.5" customHeight="1" x14ac:dyDescent="0.2">
      <c r="M932" s="29"/>
      <c r="N932" s="29"/>
      <c r="O932" s="29"/>
      <c r="P932" s="29"/>
      <c r="Q932" s="29"/>
      <c r="R932" s="29"/>
      <c r="S932" s="29"/>
    </row>
    <row r="933" spans="13:19" ht="16.5" customHeight="1" x14ac:dyDescent="0.2">
      <c r="M933" s="29"/>
      <c r="N933" s="29"/>
      <c r="O933" s="29"/>
      <c r="P933" s="29"/>
      <c r="Q933" s="29"/>
      <c r="R933" s="29"/>
      <c r="S933" s="29"/>
    </row>
    <row r="934" spans="13:19" ht="16.5" customHeight="1" x14ac:dyDescent="0.2">
      <c r="M934" s="29"/>
      <c r="N934" s="29"/>
      <c r="O934" s="29"/>
      <c r="P934" s="29"/>
      <c r="Q934" s="29"/>
      <c r="R934" s="29"/>
      <c r="S934" s="29"/>
    </row>
    <row r="935" spans="13:19" ht="16.5" customHeight="1" x14ac:dyDescent="0.2">
      <c r="M935" s="29"/>
      <c r="N935" s="29"/>
      <c r="O935" s="29"/>
      <c r="P935" s="29"/>
      <c r="Q935" s="29"/>
      <c r="R935" s="29"/>
      <c r="S935" s="29"/>
    </row>
    <row r="936" spans="13:19" ht="16.5" customHeight="1" x14ac:dyDescent="0.2">
      <c r="M936" s="29"/>
      <c r="N936" s="29"/>
      <c r="O936" s="29"/>
      <c r="P936" s="29"/>
      <c r="Q936" s="29"/>
      <c r="R936" s="29"/>
      <c r="S936" s="29"/>
    </row>
    <row r="937" spans="13:19" ht="16.5" customHeight="1" x14ac:dyDescent="0.2">
      <c r="M937" s="29"/>
      <c r="N937" s="29"/>
      <c r="O937" s="29"/>
      <c r="P937" s="29"/>
      <c r="Q937" s="29"/>
      <c r="R937" s="29"/>
      <c r="S937" s="29"/>
    </row>
    <row r="938" spans="13:19" ht="16.5" customHeight="1" x14ac:dyDescent="0.2">
      <c r="M938" s="29"/>
      <c r="N938" s="29"/>
      <c r="O938" s="29"/>
      <c r="P938" s="29"/>
      <c r="Q938" s="29"/>
      <c r="R938" s="29"/>
      <c r="S938" s="29"/>
    </row>
    <row r="939" spans="13:19" ht="16.5" customHeight="1" x14ac:dyDescent="0.2">
      <c r="M939" s="29"/>
      <c r="N939" s="29"/>
      <c r="O939" s="29"/>
      <c r="P939" s="29"/>
      <c r="Q939" s="29"/>
      <c r="R939" s="29"/>
      <c r="S939" s="29"/>
    </row>
    <row r="940" spans="13:19" ht="16.5" customHeight="1" x14ac:dyDescent="0.2">
      <c r="M940" s="29"/>
      <c r="N940" s="29"/>
      <c r="O940" s="29"/>
      <c r="P940" s="29"/>
      <c r="Q940" s="29"/>
      <c r="R940" s="29"/>
      <c r="S940" s="29"/>
    </row>
    <row r="941" spans="13:19" ht="16.5" customHeight="1" x14ac:dyDescent="0.2">
      <c r="M941" s="29"/>
      <c r="N941" s="29"/>
      <c r="O941" s="29"/>
      <c r="P941" s="29"/>
      <c r="Q941" s="29"/>
      <c r="R941" s="29"/>
      <c r="S941" s="29"/>
    </row>
    <row r="942" spans="13:19" ht="16.5" customHeight="1" x14ac:dyDescent="0.2">
      <c r="M942" s="29"/>
      <c r="N942" s="29"/>
      <c r="O942" s="29"/>
      <c r="P942" s="29"/>
      <c r="Q942" s="29"/>
      <c r="R942" s="29"/>
      <c r="S942" s="29"/>
    </row>
    <row r="943" spans="13:19" ht="16.5" customHeight="1" x14ac:dyDescent="0.2">
      <c r="M943" s="29"/>
      <c r="N943" s="29"/>
      <c r="O943" s="29"/>
      <c r="P943" s="29"/>
      <c r="Q943" s="29"/>
      <c r="R943" s="29"/>
      <c r="S943" s="29"/>
    </row>
    <row r="944" spans="13:19" ht="16.5" customHeight="1" x14ac:dyDescent="0.2">
      <c r="M944" s="29"/>
      <c r="N944" s="29"/>
      <c r="O944" s="29"/>
      <c r="P944" s="29"/>
      <c r="Q944" s="29"/>
      <c r="R944" s="29"/>
      <c r="S944" s="29"/>
    </row>
    <row r="945" spans="13:19" ht="16.5" customHeight="1" x14ac:dyDescent="0.2">
      <c r="M945" s="29"/>
      <c r="N945" s="29"/>
      <c r="O945" s="29"/>
      <c r="P945" s="29"/>
      <c r="Q945" s="29"/>
      <c r="R945" s="29"/>
      <c r="S945" s="29"/>
    </row>
    <row r="946" spans="13:19" ht="16.5" customHeight="1" x14ac:dyDescent="0.2">
      <c r="M946" s="29"/>
      <c r="N946" s="29"/>
      <c r="O946" s="29"/>
      <c r="P946" s="29"/>
      <c r="Q946" s="29"/>
      <c r="R946" s="29"/>
      <c r="S946" s="29"/>
    </row>
    <row r="947" spans="13:19" ht="16.5" customHeight="1" x14ac:dyDescent="0.2">
      <c r="M947" s="29"/>
      <c r="N947" s="29"/>
      <c r="O947" s="29"/>
      <c r="P947" s="29"/>
      <c r="Q947" s="29"/>
      <c r="R947" s="29"/>
      <c r="S947" s="29"/>
    </row>
    <row r="948" spans="13:19" ht="16.5" customHeight="1" x14ac:dyDescent="0.2">
      <c r="M948" s="29"/>
      <c r="N948" s="29"/>
      <c r="O948" s="29"/>
      <c r="P948" s="29"/>
      <c r="Q948" s="29"/>
      <c r="R948" s="29"/>
      <c r="S948" s="29"/>
    </row>
    <row r="949" spans="13:19" ht="16.5" customHeight="1" x14ac:dyDescent="0.2">
      <c r="M949" s="29"/>
      <c r="N949" s="29"/>
      <c r="O949" s="29"/>
      <c r="P949" s="29"/>
      <c r="Q949" s="29"/>
      <c r="R949" s="29"/>
      <c r="S949" s="29"/>
    </row>
    <row r="950" spans="13:19" ht="16.5" customHeight="1" x14ac:dyDescent="0.2">
      <c r="M950" s="29"/>
      <c r="N950" s="29"/>
      <c r="O950" s="29"/>
      <c r="P950" s="29"/>
      <c r="Q950" s="29"/>
      <c r="R950" s="29"/>
      <c r="S950" s="29"/>
    </row>
    <row r="951" spans="13:19" ht="16.5" customHeight="1" x14ac:dyDescent="0.2">
      <c r="M951" s="29"/>
      <c r="N951" s="29"/>
      <c r="O951" s="29"/>
      <c r="P951" s="29"/>
      <c r="Q951" s="29"/>
      <c r="R951" s="29"/>
      <c r="S951" s="29"/>
    </row>
    <row r="952" spans="13:19" ht="16.5" customHeight="1" x14ac:dyDescent="0.2">
      <c r="M952" s="29"/>
      <c r="N952" s="29"/>
      <c r="O952" s="29"/>
      <c r="P952" s="29"/>
      <c r="Q952" s="29"/>
      <c r="R952" s="29"/>
      <c r="S952" s="29"/>
    </row>
    <row r="953" spans="13:19" ht="16.5" customHeight="1" x14ac:dyDescent="0.2">
      <c r="M953" s="29"/>
      <c r="N953" s="29"/>
      <c r="O953" s="29"/>
      <c r="P953" s="29"/>
      <c r="Q953" s="29"/>
      <c r="R953" s="29"/>
      <c r="S953" s="29"/>
    </row>
    <row r="954" spans="13:19" ht="16.5" customHeight="1" x14ac:dyDescent="0.2">
      <c r="M954" s="29"/>
      <c r="N954" s="29"/>
      <c r="O954" s="29"/>
      <c r="P954" s="29"/>
      <c r="Q954" s="29"/>
      <c r="R954" s="29"/>
      <c r="S954" s="29"/>
    </row>
    <row r="955" spans="13:19" ht="16.5" customHeight="1" x14ac:dyDescent="0.2">
      <c r="M955" s="29"/>
      <c r="N955" s="29"/>
      <c r="O955" s="29"/>
      <c r="P955" s="29"/>
      <c r="Q955" s="29"/>
      <c r="R955" s="29"/>
      <c r="S955" s="29"/>
    </row>
    <row r="956" spans="13:19" ht="16.5" customHeight="1" x14ac:dyDescent="0.2">
      <c r="M956" s="29"/>
      <c r="N956" s="29"/>
      <c r="O956" s="29"/>
      <c r="P956" s="29"/>
      <c r="Q956" s="29"/>
      <c r="R956" s="29"/>
      <c r="S956" s="29"/>
    </row>
    <row r="957" spans="13:19" ht="16.5" customHeight="1" x14ac:dyDescent="0.2">
      <c r="M957" s="29"/>
      <c r="N957" s="29"/>
      <c r="O957" s="29"/>
      <c r="P957" s="29"/>
      <c r="Q957" s="29"/>
      <c r="R957" s="29"/>
      <c r="S957" s="29"/>
    </row>
    <row r="958" spans="13:19" ht="16.5" customHeight="1" x14ac:dyDescent="0.2">
      <c r="M958" s="29"/>
      <c r="N958" s="29"/>
      <c r="O958" s="29"/>
      <c r="P958" s="29"/>
      <c r="Q958" s="29"/>
      <c r="R958" s="29"/>
      <c r="S958" s="29"/>
    </row>
    <row r="959" spans="13:19" ht="16.5" customHeight="1" x14ac:dyDescent="0.2">
      <c r="M959" s="29"/>
      <c r="N959" s="29"/>
      <c r="O959" s="29"/>
      <c r="P959" s="29"/>
      <c r="Q959" s="29"/>
      <c r="R959" s="29"/>
      <c r="S959" s="29"/>
    </row>
    <row r="960" spans="13:19" ht="16.5" customHeight="1" x14ac:dyDescent="0.2">
      <c r="M960" s="29"/>
      <c r="N960" s="29"/>
      <c r="O960" s="29"/>
      <c r="P960" s="29"/>
      <c r="Q960" s="29"/>
      <c r="R960" s="29"/>
      <c r="S960" s="29"/>
    </row>
    <row r="961" spans="13:19" ht="16.5" customHeight="1" x14ac:dyDescent="0.2">
      <c r="M961" s="29"/>
      <c r="N961" s="29"/>
      <c r="O961" s="29"/>
      <c r="P961" s="29"/>
      <c r="Q961" s="29"/>
      <c r="R961" s="29"/>
      <c r="S961" s="29"/>
    </row>
    <row r="962" spans="13:19" ht="16.5" customHeight="1" x14ac:dyDescent="0.2">
      <c r="M962" s="29"/>
      <c r="N962" s="29"/>
      <c r="O962" s="29"/>
      <c r="P962" s="29"/>
      <c r="Q962" s="29"/>
      <c r="R962" s="29"/>
      <c r="S962" s="29"/>
    </row>
    <row r="963" spans="13:19" ht="16.5" customHeight="1" x14ac:dyDescent="0.2">
      <c r="M963" s="29"/>
      <c r="N963" s="29"/>
      <c r="O963" s="29"/>
      <c r="P963" s="29"/>
      <c r="Q963" s="29"/>
      <c r="R963" s="29"/>
      <c r="S963" s="29"/>
    </row>
    <row r="964" spans="13:19" ht="16.5" customHeight="1" x14ac:dyDescent="0.2">
      <c r="M964" s="29"/>
      <c r="N964" s="29"/>
      <c r="O964" s="29"/>
      <c r="P964" s="29"/>
      <c r="Q964" s="29"/>
      <c r="R964" s="29"/>
      <c r="S964" s="29"/>
    </row>
    <row r="965" spans="13:19" ht="16.5" customHeight="1" x14ac:dyDescent="0.2">
      <c r="M965" s="29"/>
      <c r="N965" s="29"/>
      <c r="O965" s="29"/>
      <c r="P965" s="29"/>
      <c r="Q965" s="29"/>
      <c r="R965" s="29"/>
      <c r="S965" s="29"/>
    </row>
    <row r="966" spans="13:19" ht="16.5" customHeight="1" x14ac:dyDescent="0.2">
      <c r="M966" s="29"/>
      <c r="N966" s="29"/>
      <c r="O966" s="29"/>
      <c r="P966" s="29"/>
      <c r="Q966" s="29"/>
      <c r="R966" s="29"/>
      <c r="S966" s="29"/>
    </row>
    <row r="967" spans="13:19" ht="16.5" customHeight="1" x14ac:dyDescent="0.2">
      <c r="M967" s="29"/>
      <c r="N967" s="29"/>
      <c r="O967" s="29"/>
      <c r="P967" s="29"/>
      <c r="Q967" s="29"/>
      <c r="R967" s="29"/>
      <c r="S967" s="29"/>
    </row>
    <row r="968" spans="13:19" ht="16.5" customHeight="1" x14ac:dyDescent="0.2">
      <c r="M968" s="29"/>
      <c r="N968" s="29"/>
      <c r="O968" s="29"/>
      <c r="P968" s="29"/>
      <c r="Q968" s="29"/>
      <c r="R968" s="29"/>
      <c r="S968" s="29"/>
    </row>
    <row r="969" spans="13:19" ht="16.5" customHeight="1" x14ac:dyDescent="0.2">
      <c r="M969" s="29"/>
      <c r="N969" s="29"/>
      <c r="O969" s="29"/>
      <c r="P969" s="29"/>
      <c r="Q969" s="29"/>
      <c r="R969" s="29"/>
      <c r="S969" s="29"/>
    </row>
    <row r="970" spans="13:19" ht="16.5" customHeight="1" x14ac:dyDescent="0.2">
      <c r="M970" s="29"/>
      <c r="N970" s="29"/>
      <c r="O970" s="29"/>
      <c r="P970" s="29"/>
      <c r="Q970" s="29"/>
      <c r="R970" s="29"/>
      <c r="S970" s="29"/>
    </row>
    <row r="971" spans="13:19" ht="16.5" customHeight="1" x14ac:dyDescent="0.2">
      <c r="M971" s="29"/>
      <c r="N971" s="29"/>
      <c r="O971" s="29"/>
      <c r="P971" s="29"/>
      <c r="Q971" s="29"/>
      <c r="R971" s="29"/>
      <c r="S971" s="29"/>
    </row>
    <row r="972" spans="13:19" ht="16.5" customHeight="1" x14ac:dyDescent="0.2">
      <c r="M972" s="29"/>
      <c r="N972" s="29"/>
      <c r="O972" s="29"/>
      <c r="P972" s="29"/>
      <c r="Q972" s="29"/>
      <c r="R972" s="29"/>
      <c r="S972" s="29"/>
    </row>
    <row r="973" spans="13:19" ht="16.5" customHeight="1" x14ac:dyDescent="0.2">
      <c r="M973" s="29"/>
      <c r="N973" s="29"/>
      <c r="O973" s="29"/>
      <c r="P973" s="29"/>
      <c r="Q973" s="29"/>
      <c r="R973" s="29"/>
      <c r="S973" s="29"/>
    </row>
    <row r="974" spans="13:19" ht="16.5" customHeight="1" x14ac:dyDescent="0.2">
      <c r="M974" s="29"/>
      <c r="N974" s="29"/>
      <c r="O974" s="29"/>
      <c r="P974" s="29"/>
      <c r="Q974" s="29"/>
      <c r="R974" s="29"/>
      <c r="S974" s="29"/>
    </row>
    <row r="975" spans="13:19" ht="16.5" customHeight="1" x14ac:dyDescent="0.2">
      <c r="M975" s="29"/>
      <c r="N975" s="29"/>
      <c r="O975" s="29"/>
      <c r="P975" s="29"/>
      <c r="Q975" s="29"/>
      <c r="R975" s="29"/>
      <c r="S975" s="29"/>
    </row>
    <row r="976" spans="13:19" ht="16.5" customHeight="1" x14ac:dyDescent="0.2">
      <c r="M976" s="29"/>
      <c r="N976" s="29"/>
      <c r="O976" s="29"/>
      <c r="P976" s="29"/>
      <c r="Q976" s="29"/>
      <c r="R976" s="29"/>
      <c r="S976" s="29"/>
    </row>
    <row r="977" spans="13:19" ht="16.5" customHeight="1" x14ac:dyDescent="0.2">
      <c r="M977" s="29"/>
      <c r="N977" s="29"/>
      <c r="O977" s="29"/>
      <c r="P977" s="29"/>
      <c r="Q977" s="29"/>
      <c r="R977" s="29"/>
      <c r="S977" s="29"/>
    </row>
    <row r="978" spans="13:19" ht="16.5" customHeight="1" x14ac:dyDescent="0.2">
      <c r="M978" s="29"/>
      <c r="N978" s="29"/>
      <c r="O978" s="29"/>
      <c r="P978" s="29"/>
      <c r="Q978" s="29"/>
      <c r="R978" s="29"/>
      <c r="S978" s="29"/>
    </row>
    <row r="979" spans="13:19" ht="16.5" customHeight="1" x14ac:dyDescent="0.2">
      <c r="M979" s="29"/>
      <c r="N979" s="29"/>
      <c r="O979" s="29"/>
      <c r="P979" s="29"/>
      <c r="Q979" s="29"/>
      <c r="R979" s="29"/>
      <c r="S979" s="29"/>
    </row>
    <row r="980" spans="13:19" ht="16.5" customHeight="1" x14ac:dyDescent="0.2">
      <c r="M980" s="29"/>
      <c r="N980" s="29"/>
      <c r="O980" s="29"/>
      <c r="P980" s="29"/>
      <c r="Q980" s="29"/>
      <c r="R980" s="29"/>
      <c r="S980" s="29"/>
    </row>
    <row r="981" spans="13:19" ht="16.5" customHeight="1" x14ac:dyDescent="0.2">
      <c r="M981" s="29"/>
      <c r="N981" s="29"/>
      <c r="O981" s="29"/>
      <c r="P981" s="29"/>
      <c r="Q981" s="29"/>
      <c r="R981" s="29"/>
      <c r="S981" s="29"/>
    </row>
    <row r="982" spans="13:19" ht="16.5" customHeight="1" x14ac:dyDescent="0.2">
      <c r="M982" s="29"/>
      <c r="N982" s="29"/>
      <c r="O982" s="29"/>
      <c r="P982" s="29"/>
      <c r="Q982" s="29"/>
      <c r="R982" s="29"/>
      <c r="S982" s="29"/>
    </row>
    <row r="983" spans="13:19" ht="16.5" customHeight="1" x14ac:dyDescent="0.2">
      <c r="M983" s="29"/>
      <c r="N983" s="29"/>
      <c r="O983" s="29"/>
      <c r="P983" s="29"/>
      <c r="Q983" s="29"/>
      <c r="R983" s="29"/>
      <c r="S983" s="29"/>
    </row>
    <row r="984" spans="13:19" ht="16.5" customHeight="1" x14ac:dyDescent="0.2">
      <c r="M984" s="29"/>
      <c r="N984" s="29"/>
      <c r="O984" s="29"/>
      <c r="P984" s="29"/>
      <c r="Q984" s="29"/>
      <c r="R984" s="29"/>
      <c r="S984" s="29"/>
    </row>
    <row r="985" spans="13:19" ht="16.5" customHeight="1" x14ac:dyDescent="0.2">
      <c r="M985" s="29"/>
      <c r="N985" s="29"/>
      <c r="O985" s="29"/>
      <c r="P985" s="29"/>
      <c r="Q985" s="29"/>
      <c r="R985" s="29"/>
      <c r="S985" s="29"/>
    </row>
    <row r="986" spans="13:19" ht="16.5" customHeight="1" x14ac:dyDescent="0.2">
      <c r="M986" s="29"/>
      <c r="N986" s="29"/>
      <c r="O986" s="29"/>
      <c r="P986" s="29"/>
      <c r="Q986" s="29"/>
      <c r="R986" s="29"/>
      <c r="S986" s="29"/>
    </row>
    <row r="987" spans="13:19" ht="16.5" customHeight="1" x14ac:dyDescent="0.2">
      <c r="M987" s="29"/>
      <c r="N987" s="29"/>
      <c r="O987" s="29"/>
      <c r="P987" s="29"/>
      <c r="Q987" s="29"/>
      <c r="R987" s="29"/>
      <c r="S987" s="29"/>
    </row>
    <row r="988" spans="13:19" ht="16.5" customHeight="1" x14ac:dyDescent="0.2">
      <c r="M988" s="29"/>
      <c r="N988" s="29"/>
      <c r="O988" s="29"/>
      <c r="P988" s="29"/>
      <c r="Q988" s="29"/>
      <c r="R988" s="29"/>
      <c r="S988" s="29"/>
    </row>
    <row r="989" spans="13:19" ht="16.5" customHeight="1" x14ac:dyDescent="0.2">
      <c r="M989" s="29"/>
      <c r="N989" s="29"/>
      <c r="O989" s="29"/>
      <c r="P989" s="29"/>
      <c r="Q989" s="29"/>
      <c r="R989" s="29"/>
      <c r="S989" s="29"/>
    </row>
    <row r="990" spans="13:19" ht="16.5" customHeight="1" x14ac:dyDescent="0.2">
      <c r="M990" s="29"/>
      <c r="N990" s="29"/>
      <c r="O990" s="29"/>
      <c r="P990" s="29"/>
      <c r="Q990" s="29"/>
      <c r="R990" s="29"/>
      <c r="S990" s="29"/>
    </row>
    <row r="991" spans="13:19" ht="16.5" customHeight="1" x14ac:dyDescent="0.2">
      <c r="M991" s="29"/>
      <c r="N991" s="29"/>
      <c r="O991" s="29"/>
      <c r="P991" s="29"/>
      <c r="Q991" s="29"/>
      <c r="R991" s="29"/>
      <c r="S991" s="29"/>
    </row>
    <row r="992" spans="13:19" ht="16.5" customHeight="1" x14ac:dyDescent="0.2">
      <c r="M992" s="29"/>
      <c r="N992" s="29"/>
      <c r="O992" s="29"/>
      <c r="P992" s="29"/>
      <c r="Q992" s="29"/>
      <c r="R992" s="29"/>
      <c r="S992" s="29"/>
    </row>
    <row r="993" spans="13:19" ht="16.5" customHeight="1" x14ac:dyDescent="0.2">
      <c r="M993" s="29"/>
      <c r="N993" s="29"/>
      <c r="O993" s="29"/>
      <c r="P993" s="29"/>
      <c r="Q993" s="29"/>
      <c r="R993" s="29"/>
      <c r="S993" s="29"/>
    </row>
    <row r="994" spans="13:19" ht="16.5" customHeight="1" x14ac:dyDescent="0.2">
      <c r="M994" s="29"/>
      <c r="N994" s="29"/>
      <c r="O994" s="29"/>
      <c r="P994" s="29"/>
      <c r="Q994" s="29"/>
      <c r="R994" s="29"/>
      <c r="S994" s="29"/>
    </row>
    <row r="995" spans="13:19" ht="16.5" customHeight="1" x14ac:dyDescent="0.2">
      <c r="M995" s="29"/>
      <c r="N995" s="29"/>
      <c r="O995" s="29"/>
      <c r="P995" s="29"/>
      <c r="Q995" s="29"/>
      <c r="R995" s="29"/>
      <c r="S995" s="29"/>
    </row>
    <row r="996" spans="13:19" ht="16.5" customHeight="1" x14ac:dyDescent="0.2">
      <c r="M996" s="29"/>
      <c r="N996" s="29"/>
      <c r="O996" s="29"/>
      <c r="P996" s="29"/>
      <c r="Q996" s="29"/>
      <c r="R996" s="29"/>
      <c r="S996" s="29"/>
    </row>
    <row r="997" spans="13:19" ht="16.5" customHeight="1" x14ac:dyDescent="0.2">
      <c r="M997" s="29"/>
      <c r="N997" s="29"/>
      <c r="O997" s="29"/>
      <c r="P997" s="29"/>
      <c r="Q997" s="29"/>
      <c r="R997" s="29"/>
      <c r="S997" s="29"/>
    </row>
    <row r="998" spans="13:19" ht="16.5" customHeight="1" x14ac:dyDescent="0.2">
      <c r="M998" s="29"/>
      <c r="N998" s="29"/>
      <c r="O998" s="29"/>
      <c r="P998" s="29"/>
      <c r="Q998" s="29"/>
      <c r="R998" s="29"/>
      <c r="S998" s="29"/>
    </row>
    <row r="999" spans="13:19" ht="16.5" customHeight="1" x14ac:dyDescent="0.2">
      <c r="M999" s="29"/>
      <c r="N999" s="29"/>
      <c r="O999" s="29"/>
      <c r="P999" s="29"/>
      <c r="Q999" s="29"/>
      <c r="R999" s="29"/>
      <c r="S999" s="29"/>
    </row>
    <row r="1000" spans="13:19" ht="16.5" customHeight="1" x14ac:dyDescent="0.2">
      <c r="M1000" s="29"/>
      <c r="N1000" s="29"/>
      <c r="O1000" s="29"/>
      <c r="P1000" s="29"/>
      <c r="Q1000" s="29"/>
      <c r="R1000" s="29"/>
      <c r="S1000" s="29"/>
    </row>
    <row r="1001" spans="13:19" ht="16.5" customHeight="1" x14ac:dyDescent="0.2">
      <c r="M1001" s="29"/>
      <c r="N1001" s="29"/>
      <c r="O1001" s="29"/>
      <c r="P1001" s="29"/>
      <c r="Q1001" s="29"/>
      <c r="R1001" s="29"/>
      <c r="S1001" s="29"/>
    </row>
    <row r="1002" spans="13:19" ht="16.5" customHeight="1" x14ac:dyDescent="0.2">
      <c r="M1002" s="29"/>
      <c r="N1002" s="29"/>
      <c r="O1002" s="29"/>
      <c r="P1002" s="29"/>
      <c r="Q1002" s="29"/>
      <c r="R1002" s="29"/>
      <c r="S1002" s="29"/>
    </row>
    <row r="1003" spans="13:19" ht="16.5" customHeight="1" x14ac:dyDescent="0.2">
      <c r="M1003" s="29"/>
      <c r="N1003" s="29"/>
      <c r="O1003" s="29"/>
      <c r="P1003" s="29"/>
      <c r="Q1003" s="29"/>
      <c r="R1003" s="29"/>
      <c r="S1003" s="29"/>
    </row>
    <row r="1004" spans="13:19" ht="16.5" customHeight="1" x14ac:dyDescent="0.2">
      <c r="M1004" s="29"/>
      <c r="N1004" s="29"/>
      <c r="O1004" s="29"/>
      <c r="P1004" s="29"/>
      <c r="Q1004" s="29"/>
      <c r="R1004" s="29"/>
      <c r="S1004" s="29"/>
    </row>
    <row r="1005" spans="13:19" ht="16.5" customHeight="1" x14ac:dyDescent="0.2">
      <c r="M1005" s="29"/>
      <c r="N1005" s="29"/>
      <c r="O1005" s="29"/>
      <c r="P1005" s="29"/>
      <c r="Q1005" s="29"/>
      <c r="R1005" s="29"/>
      <c r="S1005" s="29"/>
    </row>
    <row r="1006" spans="13:19" ht="16.5" customHeight="1" x14ac:dyDescent="0.2">
      <c r="M1006" s="29"/>
      <c r="N1006" s="29"/>
      <c r="O1006" s="29"/>
      <c r="P1006" s="29"/>
      <c r="Q1006" s="29"/>
      <c r="R1006" s="29"/>
      <c r="S1006" s="29"/>
    </row>
    <row r="1007" spans="13:19" ht="16.5" customHeight="1" x14ac:dyDescent="0.2">
      <c r="M1007" s="29"/>
      <c r="N1007" s="29"/>
      <c r="O1007" s="29"/>
      <c r="P1007" s="29"/>
      <c r="Q1007" s="29"/>
      <c r="R1007" s="29"/>
      <c r="S1007" s="29"/>
    </row>
    <row r="1008" spans="13:19" ht="16.5" customHeight="1" x14ac:dyDescent="0.2">
      <c r="M1008" s="29"/>
      <c r="N1008" s="29"/>
      <c r="O1008" s="29"/>
      <c r="P1008" s="29"/>
      <c r="Q1008" s="29"/>
      <c r="R1008" s="29"/>
      <c r="S1008" s="29"/>
    </row>
    <row r="1009" spans="13:19" ht="16.5" customHeight="1" x14ac:dyDescent="0.2">
      <c r="M1009" s="29"/>
      <c r="N1009" s="29"/>
      <c r="O1009" s="29"/>
      <c r="P1009" s="29"/>
      <c r="Q1009" s="29"/>
      <c r="R1009" s="29"/>
      <c r="S1009" s="29"/>
    </row>
    <row r="1010" spans="13:19" ht="16.5" customHeight="1" x14ac:dyDescent="0.2">
      <c r="M1010" s="29"/>
      <c r="N1010" s="29"/>
      <c r="O1010" s="29"/>
      <c r="P1010" s="29"/>
      <c r="Q1010" s="29"/>
      <c r="R1010" s="29"/>
      <c r="S1010" s="29"/>
    </row>
    <row r="1011" spans="13:19" ht="16.5" customHeight="1" x14ac:dyDescent="0.2">
      <c r="M1011" s="29"/>
      <c r="N1011" s="29"/>
      <c r="O1011" s="29"/>
      <c r="P1011" s="29"/>
      <c r="Q1011" s="29"/>
      <c r="R1011" s="29"/>
      <c r="S1011" s="29"/>
    </row>
    <row r="1012" spans="13:19" ht="16.5" customHeight="1" x14ac:dyDescent="0.2">
      <c r="M1012" s="29"/>
      <c r="N1012" s="29"/>
      <c r="O1012" s="29"/>
      <c r="P1012" s="29"/>
      <c r="Q1012" s="29"/>
      <c r="R1012" s="29"/>
      <c r="S1012" s="29"/>
    </row>
    <row r="1013" spans="13:19" ht="16.5" customHeight="1" x14ac:dyDescent="0.2">
      <c r="M1013" s="29"/>
      <c r="N1013" s="29"/>
      <c r="O1013" s="29"/>
      <c r="P1013" s="29"/>
      <c r="Q1013" s="29"/>
      <c r="R1013" s="29"/>
      <c r="S1013" s="29"/>
    </row>
    <row r="1014" spans="13:19" ht="16.5" customHeight="1" x14ac:dyDescent="0.2">
      <c r="M1014" s="29"/>
      <c r="N1014" s="29"/>
      <c r="O1014" s="29"/>
      <c r="P1014" s="29"/>
      <c r="Q1014" s="29"/>
      <c r="R1014" s="29"/>
      <c r="S1014" s="29"/>
    </row>
    <row r="1015" spans="13:19" ht="16.5" customHeight="1" x14ac:dyDescent="0.2">
      <c r="M1015" s="29"/>
      <c r="N1015" s="29"/>
      <c r="O1015" s="29"/>
      <c r="P1015" s="29"/>
      <c r="Q1015" s="29"/>
      <c r="R1015" s="29"/>
      <c r="S1015" s="29"/>
    </row>
    <row r="1016" spans="13:19" ht="16.5" customHeight="1" x14ac:dyDescent="0.2">
      <c r="M1016" s="29"/>
      <c r="N1016" s="29"/>
      <c r="O1016" s="29"/>
      <c r="P1016" s="29"/>
      <c r="Q1016" s="29"/>
      <c r="R1016" s="29"/>
      <c r="S1016" s="29"/>
    </row>
    <row r="1017" spans="13:19" ht="16.5" customHeight="1" x14ac:dyDescent="0.2">
      <c r="M1017" s="29"/>
      <c r="N1017" s="29"/>
      <c r="O1017" s="29"/>
      <c r="P1017" s="29"/>
      <c r="Q1017" s="29"/>
      <c r="R1017" s="29"/>
      <c r="S1017" s="29"/>
    </row>
    <row r="1018" spans="13:19" ht="16.5" customHeight="1" x14ac:dyDescent="0.2">
      <c r="M1018" s="29"/>
      <c r="N1018" s="29"/>
      <c r="O1018" s="29"/>
      <c r="P1018" s="29"/>
      <c r="Q1018" s="29"/>
      <c r="R1018" s="29"/>
      <c r="S1018" s="29"/>
    </row>
    <row r="1019" spans="13:19" ht="16.5" customHeight="1" x14ac:dyDescent="0.2">
      <c r="M1019" s="29"/>
      <c r="N1019" s="29"/>
      <c r="O1019" s="29"/>
      <c r="P1019" s="29"/>
      <c r="Q1019" s="29"/>
      <c r="R1019" s="29"/>
      <c r="S1019" s="29"/>
    </row>
    <row r="1020" spans="13:19" ht="16.5" customHeight="1" x14ac:dyDescent="0.2">
      <c r="M1020" s="29"/>
      <c r="N1020" s="29"/>
      <c r="O1020" s="29"/>
      <c r="P1020" s="29"/>
      <c r="Q1020" s="29"/>
      <c r="R1020" s="29"/>
      <c r="S1020" s="29"/>
    </row>
    <row r="1021" spans="13:19" ht="16.5" customHeight="1" x14ac:dyDescent="0.2">
      <c r="M1021" s="29"/>
      <c r="N1021" s="29"/>
      <c r="O1021" s="29"/>
      <c r="P1021" s="29"/>
      <c r="Q1021" s="29"/>
      <c r="R1021" s="29"/>
      <c r="S1021" s="29"/>
    </row>
    <row r="1022" spans="13:19" ht="16.5" customHeight="1" x14ac:dyDescent="0.2">
      <c r="M1022" s="29"/>
      <c r="N1022" s="29"/>
      <c r="O1022" s="29"/>
      <c r="P1022" s="29"/>
      <c r="Q1022" s="29"/>
      <c r="R1022" s="29"/>
      <c r="S1022" s="29"/>
    </row>
    <row r="1023" spans="13:19" ht="16.5" customHeight="1" x14ac:dyDescent="0.2">
      <c r="M1023" s="29"/>
      <c r="N1023" s="29"/>
      <c r="O1023" s="29"/>
      <c r="P1023" s="29"/>
      <c r="Q1023" s="29"/>
      <c r="R1023" s="29"/>
      <c r="S1023" s="29"/>
    </row>
    <row r="1024" spans="13:19" ht="16.5" customHeight="1" x14ac:dyDescent="0.2">
      <c r="M1024" s="29"/>
      <c r="N1024" s="29"/>
      <c r="O1024" s="29"/>
      <c r="P1024" s="29"/>
      <c r="Q1024" s="29"/>
      <c r="R1024" s="29"/>
      <c r="S1024" s="29"/>
    </row>
    <row r="1025" spans="13:19" ht="16.5" customHeight="1" x14ac:dyDescent="0.2">
      <c r="M1025" s="29"/>
      <c r="N1025" s="29"/>
      <c r="O1025" s="29"/>
      <c r="P1025" s="29"/>
      <c r="Q1025" s="29"/>
      <c r="R1025" s="29"/>
      <c r="S1025" s="29"/>
    </row>
    <row r="1026" spans="13:19" ht="16.5" customHeight="1" x14ac:dyDescent="0.2">
      <c r="M1026" s="29"/>
      <c r="N1026" s="29"/>
      <c r="O1026" s="29"/>
      <c r="P1026" s="29"/>
      <c r="Q1026" s="29"/>
      <c r="R1026" s="29"/>
      <c r="S1026" s="29"/>
    </row>
    <row r="1027" spans="13:19" ht="16.5" customHeight="1" x14ac:dyDescent="0.2">
      <c r="M1027" s="29"/>
      <c r="N1027" s="29"/>
      <c r="O1027" s="29"/>
      <c r="P1027" s="29"/>
      <c r="Q1027" s="29"/>
      <c r="R1027" s="29"/>
      <c r="S1027" s="29"/>
    </row>
    <row r="1028" spans="13:19" ht="16.5" customHeight="1" x14ac:dyDescent="0.2">
      <c r="M1028" s="29"/>
      <c r="N1028" s="29"/>
      <c r="O1028" s="29"/>
      <c r="P1028" s="29"/>
      <c r="Q1028" s="29"/>
      <c r="R1028" s="29"/>
      <c r="S1028" s="29"/>
    </row>
    <row r="1029" spans="13:19" ht="16.5" customHeight="1" x14ac:dyDescent="0.2">
      <c r="M1029" s="29"/>
      <c r="N1029" s="29"/>
      <c r="O1029" s="29"/>
      <c r="P1029" s="29"/>
      <c r="Q1029" s="29"/>
      <c r="R1029" s="29"/>
      <c r="S1029" s="29"/>
    </row>
    <row r="1030" spans="13:19" ht="16.5" customHeight="1" x14ac:dyDescent="0.2">
      <c r="M1030" s="29"/>
      <c r="N1030" s="29"/>
      <c r="O1030" s="29"/>
      <c r="P1030" s="29"/>
      <c r="Q1030" s="29"/>
      <c r="R1030" s="29"/>
      <c r="S1030" s="29"/>
    </row>
    <row r="1031" spans="13:19" ht="16.5" customHeight="1" x14ac:dyDescent="0.2">
      <c r="M1031" s="29"/>
      <c r="N1031" s="29"/>
      <c r="O1031" s="29"/>
      <c r="P1031" s="29"/>
      <c r="Q1031" s="29"/>
      <c r="R1031" s="29"/>
      <c r="S1031" s="29"/>
    </row>
    <row r="1032" spans="13:19" ht="16.5" customHeight="1" x14ac:dyDescent="0.2">
      <c r="M1032" s="29"/>
      <c r="N1032" s="29"/>
      <c r="O1032" s="29"/>
      <c r="P1032" s="29"/>
      <c r="Q1032" s="29"/>
      <c r="R1032" s="29"/>
      <c r="S1032" s="29"/>
    </row>
    <row r="1033" spans="13:19" ht="16.5" customHeight="1" x14ac:dyDescent="0.2">
      <c r="M1033" s="29"/>
      <c r="N1033" s="29"/>
      <c r="O1033" s="29"/>
      <c r="P1033" s="29"/>
      <c r="Q1033" s="29"/>
      <c r="R1033" s="29"/>
      <c r="S1033" s="29"/>
    </row>
    <row r="1034" spans="13:19" ht="16.5" customHeight="1" x14ac:dyDescent="0.2">
      <c r="M1034" s="29"/>
      <c r="N1034" s="29"/>
      <c r="O1034" s="29"/>
      <c r="P1034" s="29"/>
      <c r="Q1034" s="29"/>
      <c r="R1034" s="29"/>
      <c r="S1034" s="29"/>
    </row>
    <row r="1035" spans="13:19" ht="16.5" customHeight="1" x14ac:dyDescent="0.2">
      <c r="M1035" s="29"/>
      <c r="N1035" s="29"/>
      <c r="O1035" s="29"/>
      <c r="P1035" s="29"/>
      <c r="Q1035" s="29"/>
      <c r="R1035" s="29"/>
      <c r="S1035" s="29"/>
    </row>
    <row r="1036" spans="13:19" ht="16.5" customHeight="1" x14ac:dyDescent="0.2">
      <c r="M1036" s="29"/>
      <c r="N1036" s="29"/>
      <c r="O1036" s="29"/>
      <c r="P1036" s="29"/>
      <c r="Q1036" s="29"/>
      <c r="R1036" s="29"/>
      <c r="S1036" s="29"/>
    </row>
    <row r="1037" spans="13:19" ht="16.5" customHeight="1" x14ac:dyDescent="0.2">
      <c r="M1037" s="29"/>
      <c r="N1037" s="29"/>
      <c r="O1037" s="29"/>
      <c r="P1037" s="29"/>
      <c r="Q1037" s="29"/>
      <c r="R1037" s="29"/>
      <c r="S1037" s="29"/>
    </row>
    <row r="1038" spans="13:19" ht="16.5" customHeight="1" x14ac:dyDescent="0.2">
      <c r="M1038" s="29"/>
      <c r="N1038" s="29"/>
      <c r="O1038" s="29"/>
      <c r="P1038" s="29"/>
      <c r="Q1038" s="29"/>
      <c r="R1038" s="29"/>
      <c r="S1038" s="29"/>
    </row>
    <row r="1039" spans="13:19" ht="16.5" customHeight="1" x14ac:dyDescent="0.2">
      <c r="M1039" s="29"/>
      <c r="N1039" s="29"/>
      <c r="O1039" s="29"/>
      <c r="P1039" s="29"/>
      <c r="Q1039" s="29"/>
      <c r="R1039" s="29"/>
      <c r="S1039" s="29"/>
    </row>
    <row r="1040" spans="13:19" ht="16.5" customHeight="1" x14ac:dyDescent="0.2">
      <c r="M1040" s="29"/>
      <c r="N1040" s="29"/>
      <c r="O1040" s="29"/>
      <c r="P1040" s="29"/>
      <c r="Q1040" s="29"/>
      <c r="R1040" s="29"/>
      <c r="S1040" s="29"/>
    </row>
    <row r="1041" spans="13:19" ht="16.5" customHeight="1" x14ac:dyDescent="0.2">
      <c r="M1041" s="29"/>
      <c r="N1041" s="29"/>
      <c r="O1041" s="29"/>
      <c r="P1041" s="29"/>
      <c r="Q1041" s="29"/>
      <c r="R1041" s="29"/>
      <c r="S1041" s="29"/>
    </row>
    <row r="1042" spans="13:19" ht="16.5" customHeight="1" x14ac:dyDescent="0.2">
      <c r="M1042" s="29"/>
      <c r="N1042" s="29"/>
      <c r="O1042" s="29"/>
      <c r="P1042" s="29"/>
      <c r="Q1042" s="29"/>
      <c r="R1042" s="29"/>
      <c r="S1042" s="29"/>
    </row>
    <row r="1043" spans="13:19" ht="16.5" customHeight="1" x14ac:dyDescent="0.2">
      <c r="M1043" s="29"/>
      <c r="N1043" s="29"/>
      <c r="O1043" s="29"/>
      <c r="P1043" s="29"/>
      <c r="Q1043" s="29"/>
      <c r="R1043" s="29"/>
      <c r="S1043" s="29"/>
    </row>
    <row r="1044" spans="13:19" ht="16.5" customHeight="1" x14ac:dyDescent="0.2">
      <c r="M1044" s="29"/>
      <c r="N1044" s="29"/>
      <c r="O1044" s="29"/>
      <c r="P1044" s="29"/>
      <c r="Q1044" s="29"/>
      <c r="R1044" s="29"/>
      <c r="S1044" s="29"/>
    </row>
    <row r="1045" spans="13:19" ht="16.5" customHeight="1" x14ac:dyDescent="0.2">
      <c r="M1045" s="29"/>
      <c r="N1045" s="29"/>
      <c r="O1045" s="29"/>
      <c r="P1045" s="29"/>
      <c r="Q1045" s="29"/>
      <c r="R1045" s="29"/>
      <c r="S1045" s="29"/>
    </row>
    <row r="1046" spans="13:19" ht="16.5" customHeight="1" x14ac:dyDescent="0.2">
      <c r="M1046" s="29"/>
      <c r="N1046" s="29"/>
      <c r="O1046" s="29"/>
      <c r="P1046" s="29"/>
      <c r="Q1046" s="29"/>
      <c r="R1046" s="29"/>
      <c r="S1046" s="29"/>
    </row>
    <row r="1047" spans="13:19" ht="16.5" customHeight="1" x14ac:dyDescent="0.2">
      <c r="M1047" s="29"/>
      <c r="N1047" s="29"/>
      <c r="O1047" s="29"/>
      <c r="P1047" s="29"/>
      <c r="Q1047" s="29"/>
      <c r="R1047" s="29"/>
      <c r="S1047" s="29"/>
    </row>
    <row r="1048" spans="13:19" ht="16.5" customHeight="1" x14ac:dyDescent="0.2">
      <c r="M1048" s="29"/>
      <c r="N1048" s="29"/>
      <c r="O1048" s="29"/>
      <c r="P1048" s="29"/>
      <c r="Q1048" s="29"/>
      <c r="R1048" s="29"/>
      <c r="S1048" s="29"/>
    </row>
    <row r="1049" spans="13:19" ht="16.5" customHeight="1" x14ac:dyDescent="0.2">
      <c r="M1049" s="29"/>
      <c r="N1049" s="29"/>
      <c r="O1049" s="29"/>
      <c r="P1049" s="29"/>
      <c r="Q1049" s="29"/>
      <c r="R1049" s="29"/>
      <c r="S1049" s="29"/>
    </row>
    <row r="1050" spans="13:19" ht="16.5" customHeight="1" x14ac:dyDescent="0.2">
      <c r="M1050" s="29"/>
      <c r="N1050" s="29"/>
      <c r="O1050" s="29"/>
      <c r="P1050" s="29"/>
      <c r="Q1050" s="29"/>
      <c r="R1050" s="29"/>
      <c r="S1050" s="29"/>
    </row>
    <row r="1051" spans="13:19" ht="16.5" customHeight="1" x14ac:dyDescent="0.2">
      <c r="M1051" s="29"/>
      <c r="N1051" s="29"/>
      <c r="O1051" s="29"/>
      <c r="P1051" s="29"/>
      <c r="Q1051" s="29"/>
      <c r="R1051" s="29"/>
      <c r="S1051" s="29"/>
    </row>
    <row r="1052" spans="13:19" ht="16.5" customHeight="1" x14ac:dyDescent="0.2">
      <c r="M1052" s="29"/>
      <c r="N1052" s="29"/>
      <c r="O1052" s="29"/>
      <c r="P1052" s="29"/>
      <c r="Q1052" s="29"/>
      <c r="R1052" s="29"/>
      <c r="S1052" s="29"/>
    </row>
    <row r="1053" spans="13:19" ht="16.5" customHeight="1" x14ac:dyDescent="0.2">
      <c r="M1053" s="29"/>
      <c r="N1053" s="29"/>
      <c r="O1053" s="29"/>
      <c r="P1053" s="29"/>
      <c r="Q1053" s="29"/>
      <c r="R1053" s="29"/>
      <c r="S1053" s="29"/>
    </row>
    <row r="1054" spans="13:19" ht="16.5" customHeight="1" x14ac:dyDescent="0.2">
      <c r="M1054" s="29"/>
      <c r="N1054" s="29"/>
      <c r="O1054" s="29"/>
      <c r="P1054" s="29"/>
      <c r="Q1054" s="29"/>
      <c r="R1054" s="29"/>
      <c r="S1054" s="29"/>
    </row>
    <row r="1055" spans="13:19" ht="16.5" customHeight="1" x14ac:dyDescent="0.2">
      <c r="M1055" s="29"/>
      <c r="N1055" s="29"/>
      <c r="O1055" s="29"/>
      <c r="P1055" s="29"/>
      <c r="Q1055" s="29"/>
      <c r="R1055" s="29"/>
      <c r="S1055" s="29"/>
    </row>
    <row r="1056" spans="13:19" ht="16.5" customHeight="1" x14ac:dyDescent="0.2">
      <c r="M1056" s="29"/>
      <c r="N1056" s="29"/>
      <c r="O1056" s="29"/>
      <c r="P1056" s="29"/>
      <c r="Q1056" s="29"/>
      <c r="R1056" s="29"/>
      <c r="S1056" s="29"/>
    </row>
    <row r="1057" spans="13:19" ht="16.5" customHeight="1" x14ac:dyDescent="0.2">
      <c r="M1057" s="29"/>
      <c r="N1057" s="29"/>
      <c r="O1057" s="29"/>
      <c r="P1057" s="29"/>
      <c r="Q1057" s="29"/>
      <c r="R1057" s="29"/>
      <c r="S1057" s="29"/>
    </row>
    <row r="1058" spans="13:19" ht="16.5" customHeight="1" x14ac:dyDescent="0.2">
      <c r="M1058" s="29"/>
      <c r="N1058" s="29"/>
      <c r="O1058" s="29"/>
      <c r="P1058" s="29"/>
      <c r="Q1058" s="29"/>
      <c r="R1058" s="29"/>
      <c r="S1058" s="29"/>
    </row>
    <row r="1059" spans="13:19" ht="16.5" customHeight="1" x14ac:dyDescent="0.2">
      <c r="M1059" s="29"/>
      <c r="N1059" s="29"/>
      <c r="O1059" s="29"/>
      <c r="P1059" s="29"/>
      <c r="Q1059" s="29"/>
      <c r="R1059" s="29"/>
      <c r="S1059" s="29"/>
    </row>
    <row r="1060" spans="13:19" ht="16.5" customHeight="1" x14ac:dyDescent="0.2">
      <c r="M1060" s="29"/>
      <c r="N1060" s="29"/>
      <c r="O1060" s="29"/>
      <c r="P1060" s="29"/>
      <c r="Q1060" s="29"/>
      <c r="R1060" s="29"/>
      <c r="S1060" s="29"/>
    </row>
    <row r="1061" spans="13:19" ht="16.5" customHeight="1" x14ac:dyDescent="0.2">
      <c r="M1061" s="29"/>
      <c r="N1061" s="29"/>
      <c r="O1061" s="29"/>
      <c r="P1061" s="29"/>
      <c r="Q1061" s="29"/>
      <c r="R1061" s="29"/>
      <c r="S1061" s="29"/>
    </row>
    <row r="1062" spans="13:19" ht="16.5" customHeight="1" x14ac:dyDescent="0.2">
      <c r="M1062" s="29"/>
      <c r="N1062" s="29"/>
      <c r="O1062" s="29"/>
      <c r="P1062" s="29"/>
      <c r="Q1062" s="29"/>
      <c r="R1062" s="29"/>
      <c r="S1062" s="29"/>
    </row>
    <row r="1063" spans="13:19" ht="16.5" customHeight="1" x14ac:dyDescent="0.2">
      <c r="M1063" s="29"/>
      <c r="N1063" s="29"/>
      <c r="O1063" s="29"/>
      <c r="P1063" s="29"/>
      <c r="Q1063" s="29"/>
      <c r="R1063" s="29"/>
      <c r="S1063" s="29"/>
    </row>
    <row r="1064" spans="13:19" ht="16.5" customHeight="1" x14ac:dyDescent="0.2">
      <c r="M1064" s="29"/>
      <c r="N1064" s="29"/>
      <c r="O1064" s="29"/>
      <c r="P1064" s="29"/>
      <c r="Q1064" s="29"/>
      <c r="R1064" s="29"/>
      <c r="S1064" s="29"/>
    </row>
    <row r="1065" spans="13:19" ht="16.5" customHeight="1" x14ac:dyDescent="0.2">
      <c r="M1065" s="29"/>
      <c r="N1065" s="29"/>
      <c r="O1065" s="29"/>
      <c r="P1065" s="29"/>
      <c r="Q1065" s="29"/>
      <c r="R1065" s="29"/>
      <c r="S1065" s="29"/>
    </row>
    <row r="1066" spans="13:19" ht="16.5" customHeight="1" x14ac:dyDescent="0.2">
      <c r="M1066" s="29"/>
      <c r="N1066" s="29"/>
      <c r="O1066" s="29"/>
      <c r="P1066" s="29"/>
      <c r="Q1066" s="29"/>
      <c r="R1066" s="29"/>
      <c r="S1066" s="29"/>
    </row>
    <row r="1067" spans="13:19" ht="16.5" customHeight="1" x14ac:dyDescent="0.2">
      <c r="M1067" s="29"/>
      <c r="N1067" s="29"/>
      <c r="O1067" s="29"/>
      <c r="P1067" s="29"/>
      <c r="Q1067" s="29"/>
      <c r="R1067" s="29"/>
      <c r="S1067" s="29"/>
    </row>
    <row r="1068" spans="13:19" ht="16.5" customHeight="1" x14ac:dyDescent="0.2">
      <c r="M1068" s="29"/>
      <c r="N1068" s="29"/>
      <c r="O1068" s="29"/>
      <c r="P1068" s="29"/>
      <c r="Q1068" s="29"/>
      <c r="R1068" s="29"/>
      <c r="S1068" s="29"/>
    </row>
    <row r="1069" spans="13:19" ht="16.5" customHeight="1" x14ac:dyDescent="0.2">
      <c r="M1069" s="29"/>
      <c r="N1069" s="29"/>
      <c r="O1069" s="29"/>
      <c r="P1069" s="29"/>
      <c r="Q1069" s="29"/>
      <c r="R1069" s="29"/>
      <c r="S1069" s="29"/>
    </row>
    <row r="1070" spans="13:19" ht="16.5" customHeight="1" x14ac:dyDescent="0.2">
      <c r="M1070" s="29"/>
      <c r="N1070" s="29"/>
      <c r="O1070" s="29"/>
      <c r="P1070" s="29"/>
      <c r="Q1070" s="29"/>
      <c r="R1070" s="29"/>
      <c r="S1070" s="29"/>
    </row>
    <row r="1071" spans="13:19" ht="16.5" customHeight="1" x14ac:dyDescent="0.2">
      <c r="M1071" s="29"/>
      <c r="N1071" s="29"/>
      <c r="O1071" s="29"/>
      <c r="P1071" s="29"/>
      <c r="Q1071" s="29"/>
      <c r="R1071" s="29"/>
      <c r="S1071" s="29"/>
    </row>
    <row r="1072" spans="13:19" ht="16.5" customHeight="1" x14ac:dyDescent="0.2">
      <c r="M1072" s="29"/>
      <c r="N1072" s="29"/>
      <c r="O1072" s="29"/>
      <c r="P1072" s="29"/>
      <c r="Q1072" s="29"/>
      <c r="R1072" s="29"/>
      <c r="S1072" s="29"/>
    </row>
    <row r="1073" spans="13:19" ht="16.5" customHeight="1" x14ac:dyDescent="0.2">
      <c r="M1073" s="29"/>
      <c r="N1073" s="29"/>
      <c r="O1073" s="29"/>
      <c r="P1073" s="29"/>
      <c r="Q1073" s="29"/>
      <c r="R1073" s="29"/>
      <c r="S1073" s="29"/>
    </row>
    <row r="1074" spans="13:19" ht="16.5" customHeight="1" x14ac:dyDescent="0.2">
      <c r="M1074" s="29"/>
      <c r="N1074" s="29"/>
      <c r="O1074" s="29"/>
      <c r="P1074" s="29"/>
      <c r="Q1074" s="29"/>
      <c r="R1074" s="29"/>
      <c r="S1074" s="29"/>
    </row>
    <row r="1075" spans="13:19" ht="16.5" customHeight="1" x14ac:dyDescent="0.2">
      <c r="M1075" s="29"/>
      <c r="N1075" s="29"/>
      <c r="O1075" s="29"/>
      <c r="P1075" s="29"/>
      <c r="Q1075" s="29"/>
      <c r="R1075" s="29"/>
      <c r="S1075" s="29"/>
    </row>
    <row r="1076" spans="13:19" ht="16.5" customHeight="1" x14ac:dyDescent="0.2">
      <c r="M1076" s="29"/>
      <c r="N1076" s="29"/>
      <c r="O1076" s="29"/>
      <c r="P1076" s="29"/>
      <c r="Q1076" s="29"/>
      <c r="R1076" s="29"/>
      <c r="S1076" s="29"/>
    </row>
    <row r="1077" spans="13:19" ht="16.5" customHeight="1" x14ac:dyDescent="0.2">
      <c r="M1077" s="29"/>
      <c r="N1077" s="29"/>
      <c r="O1077" s="29"/>
      <c r="P1077" s="29"/>
      <c r="Q1077" s="29"/>
      <c r="R1077" s="29"/>
      <c r="S1077" s="29"/>
    </row>
    <row r="1078" spans="13:19" ht="16.5" customHeight="1" x14ac:dyDescent="0.2">
      <c r="M1078" s="29"/>
      <c r="N1078" s="29"/>
      <c r="O1078" s="29"/>
      <c r="P1078" s="29"/>
      <c r="Q1078" s="29"/>
      <c r="R1078" s="29"/>
      <c r="S1078" s="29"/>
    </row>
    <row r="1079" spans="13:19" ht="16.5" customHeight="1" x14ac:dyDescent="0.2">
      <c r="M1079" s="29"/>
      <c r="N1079" s="29"/>
      <c r="O1079" s="29"/>
      <c r="P1079" s="29"/>
      <c r="Q1079" s="29"/>
      <c r="R1079" s="29"/>
      <c r="S1079" s="29"/>
    </row>
    <row r="1080" spans="13:19" ht="16.5" customHeight="1" x14ac:dyDescent="0.2">
      <c r="M1080" s="29"/>
      <c r="N1080" s="29"/>
      <c r="O1080" s="29"/>
      <c r="P1080" s="29"/>
      <c r="Q1080" s="29"/>
      <c r="R1080" s="29"/>
      <c r="S1080" s="29"/>
    </row>
    <row r="1081" spans="13:19" ht="16.5" customHeight="1" x14ac:dyDescent="0.2">
      <c r="M1081" s="29"/>
      <c r="N1081" s="29"/>
      <c r="O1081" s="29"/>
      <c r="P1081" s="29"/>
      <c r="Q1081" s="29"/>
      <c r="R1081" s="29"/>
      <c r="S1081" s="29"/>
    </row>
    <row r="1082" spans="13:19" ht="16.5" customHeight="1" x14ac:dyDescent="0.2">
      <c r="M1082" s="29"/>
      <c r="N1082" s="29"/>
      <c r="O1082" s="29"/>
      <c r="P1082" s="29"/>
      <c r="Q1082" s="29"/>
      <c r="R1082" s="29"/>
      <c r="S1082" s="29"/>
    </row>
    <row r="1083" spans="13:19" ht="16.5" customHeight="1" x14ac:dyDescent="0.2">
      <c r="M1083" s="29"/>
      <c r="N1083" s="29"/>
      <c r="O1083" s="29"/>
      <c r="P1083" s="29"/>
      <c r="Q1083" s="29"/>
      <c r="R1083" s="29"/>
      <c r="S1083" s="29"/>
    </row>
    <row r="1084" spans="13:19" ht="16.5" customHeight="1" x14ac:dyDescent="0.2">
      <c r="M1084" s="29"/>
      <c r="N1084" s="29"/>
      <c r="O1084" s="29"/>
      <c r="P1084" s="29"/>
      <c r="Q1084" s="29"/>
      <c r="R1084" s="29"/>
      <c r="S1084" s="29"/>
    </row>
    <row r="1085" spans="13:19" ht="16.5" customHeight="1" x14ac:dyDescent="0.2">
      <c r="M1085" s="29"/>
      <c r="N1085" s="29"/>
      <c r="O1085" s="29"/>
      <c r="P1085" s="29"/>
      <c r="Q1085" s="29"/>
      <c r="R1085" s="29"/>
      <c r="S1085" s="29"/>
    </row>
    <row r="1086" spans="13:19" ht="16.5" customHeight="1" x14ac:dyDescent="0.2">
      <c r="M1086" s="29"/>
      <c r="N1086" s="29"/>
      <c r="O1086" s="29"/>
      <c r="P1086" s="29"/>
      <c r="Q1086" s="29"/>
      <c r="R1086" s="29"/>
      <c r="S1086" s="29"/>
    </row>
    <row r="1087" spans="13:19" ht="16.5" customHeight="1" x14ac:dyDescent="0.2">
      <c r="M1087" s="29"/>
      <c r="N1087" s="29"/>
      <c r="O1087" s="29"/>
      <c r="P1087" s="29"/>
      <c r="Q1087" s="29"/>
      <c r="R1087" s="29"/>
      <c r="S1087" s="29"/>
    </row>
    <row r="1088" spans="13:19" ht="16.5" customHeight="1" x14ac:dyDescent="0.2">
      <c r="M1088" s="29"/>
      <c r="N1088" s="29"/>
      <c r="O1088" s="29"/>
      <c r="P1088" s="29"/>
      <c r="Q1088" s="29"/>
      <c r="R1088" s="29"/>
      <c r="S1088" s="29"/>
    </row>
    <row r="1089" spans="13:19" ht="16.5" customHeight="1" x14ac:dyDescent="0.2">
      <c r="M1089" s="29"/>
      <c r="N1089" s="29"/>
      <c r="O1089" s="29"/>
      <c r="P1089" s="29"/>
      <c r="Q1089" s="29"/>
      <c r="R1089" s="29"/>
      <c r="S1089" s="29"/>
    </row>
    <row r="1090" spans="13:19" ht="16.5" customHeight="1" x14ac:dyDescent="0.2">
      <c r="M1090" s="29"/>
      <c r="N1090" s="29"/>
      <c r="O1090" s="29"/>
      <c r="P1090" s="29"/>
      <c r="Q1090" s="29"/>
      <c r="R1090" s="29"/>
      <c r="S1090" s="29"/>
    </row>
    <row r="1091" spans="13:19" ht="16.5" customHeight="1" x14ac:dyDescent="0.2">
      <c r="M1091" s="29"/>
      <c r="N1091" s="29"/>
      <c r="O1091" s="29"/>
      <c r="P1091" s="29"/>
      <c r="Q1091" s="29"/>
      <c r="R1091" s="29"/>
      <c r="S1091" s="29"/>
    </row>
    <row r="1092" spans="13:19" ht="16.5" customHeight="1" x14ac:dyDescent="0.2">
      <c r="M1092" s="29"/>
      <c r="N1092" s="29"/>
      <c r="O1092" s="29"/>
      <c r="P1092" s="29"/>
      <c r="Q1092" s="29"/>
      <c r="R1092" s="29"/>
      <c r="S1092" s="29"/>
    </row>
    <row r="1093" spans="13:19" ht="16.5" customHeight="1" x14ac:dyDescent="0.2">
      <c r="M1093" s="29"/>
      <c r="N1093" s="29"/>
      <c r="O1093" s="29"/>
      <c r="P1093" s="29"/>
      <c r="Q1093" s="29"/>
      <c r="R1093" s="29"/>
      <c r="S1093" s="29"/>
    </row>
    <row r="1094" spans="13:19" ht="16.5" customHeight="1" x14ac:dyDescent="0.2">
      <c r="M1094" s="29"/>
      <c r="N1094" s="29"/>
      <c r="O1094" s="29"/>
      <c r="P1094" s="29"/>
      <c r="Q1094" s="29"/>
      <c r="R1094" s="29"/>
      <c r="S1094" s="29"/>
    </row>
    <row r="1095" spans="13:19" ht="16.5" customHeight="1" x14ac:dyDescent="0.2">
      <c r="M1095" s="29"/>
      <c r="N1095" s="29"/>
      <c r="O1095" s="29"/>
      <c r="P1095" s="29"/>
      <c r="Q1095" s="29"/>
      <c r="R1095" s="29"/>
      <c r="S1095" s="29"/>
    </row>
    <row r="1096" spans="13:19" ht="16.5" customHeight="1" x14ac:dyDescent="0.2">
      <c r="M1096" s="29"/>
      <c r="N1096" s="29"/>
      <c r="O1096" s="29"/>
      <c r="P1096" s="29"/>
      <c r="Q1096" s="29"/>
      <c r="R1096" s="29"/>
      <c r="S1096" s="29"/>
    </row>
    <row r="1097" spans="13:19" ht="16.5" customHeight="1" x14ac:dyDescent="0.2">
      <c r="M1097" s="29"/>
      <c r="N1097" s="29"/>
      <c r="O1097" s="29"/>
      <c r="P1097" s="29"/>
      <c r="Q1097" s="29"/>
      <c r="R1097" s="29"/>
      <c r="S1097" s="29"/>
    </row>
    <row r="1098" spans="13:19" ht="16.5" customHeight="1" x14ac:dyDescent="0.2">
      <c r="M1098" s="29"/>
      <c r="N1098" s="29"/>
      <c r="O1098" s="29"/>
      <c r="P1098" s="29"/>
      <c r="Q1098" s="29"/>
      <c r="R1098" s="29"/>
      <c r="S1098" s="29"/>
    </row>
    <row r="1099" spans="13:19" ht="16.5" customHeight="1" x14ac:dyDescent="0.2">
      <c r="M1099" s="29"/>
      <c r="N1099" s="29"/>
      <c r="O1099" s="29"/>
      <c r="P1099" s="29"/>
      <c r="Q1099" s="29"/>
      <c r="R1099" s="29"/>
      <c r="S1099" s="29"/>
    </row>
    <row r="1100" spans="13:19" ht="16.5" customHeight="1" x14ac:dyDescent="0.2">
      <c r="M1100" s="29"/>
      <c r="N1100" s="29"/>
      <c r="O1100" s="29"/>
      <c r="P1100" s="29"/>
      <c r="Q1100" s="29"/>
      <c r="R1100" s="29"/>
      <c r="S1100" s="29"/>
    </row>
    <row r="1101" spans="13:19" ht="16.5" customHeight="1" x14ac:dyDescent="0.2">
      <c r="M1101" s="29"/>
      <c r="N1101" s="29"/>
      <c r="O1101" s="29"/>
      <c r="P1101" s="29"/>
      <c r="Q1101" s="29"/>
      <c r="R1101" s="29"/>
      <c r="S1101" s="29"/>
    </row>
    <row r="1102" spans="13:19" ht="16.5" customHeight="1" x14ac:dyDescent="0.2">
      <c r="M1102" s="29"/>
      <c r="N1102" s="29"/>
      <c r="O1102" s="29"/>
      <c r="P1102" s="29"/>
      <c r="Q1102" s="29"/>
      <c r="R1102" s="29"/>
      <c r="S1102" s="29"/>
    </row>
    <row r="1103" spans="13:19" ht="16.5" customHeight="1" x14ac:dyDescent="0.2">
      <c r="M1103" s="29"/>
      <c r="N1103" s="29"/>
      <c r="O1103" s="29"/>
      <c r="P1103" s="29"/>
      <c r="Q1103" s="29"/>
      <c r="R1103" s="29"/>
      <c r="S1103" s="29"/>
    </row>
    <row r="1104" spans="13:19" ht="16.5" customHeight="1" x14ac:dyDescent="0.2">
      <c r="M1104" s="29"/>
      <c r="N1104" s="29"/>
      <c r="O1104" s="29"/>
      <c r="P1104" s="29"/>
      <c r="Q1104" s="29"/>
      <c r="R1104" s="29"/>
      <c r="S1104" s="29"/>
    </row>
    <row r="1105" spans="13:19" ht="16.5" customHeight="1" x14ac:dyDescent="0.2">
      <c r="M1105" s="29"/>
      <c r="N1105" s="29"/>
      <c r="O1105" s="29"/>
      <c r="P1105" s="29"/>
      <c r="Q1105" s="29"/>
      <c r="R1105" s="29"/>
      <c r="S1105" s="29"/>
    </row>
    <row r="1106" spans="13:19" ht="16.5" customHeight="1" x14ac:dyDescent="0.2">
      <c r="M1106" s="29"/>
      <c r="N1106" s="29"/>
      <c r="O1106" s="29"/>
      <c r="P1106" s="29"/>
      <c r="Q1106" s="29"/>
      <c r="R1106" s="29"/>
      <c r="S1106" s="29"/>
    </row>
    <row r="1107" spans="13:19" ht="16.5" customHeight="1" x14ac:dyDescent="0.2">
      <c r="M1107" s="29"/>
      <c r="N1107" s="29"/>
      <c r="O1107" s="29"/>
      <c r="P1107" s="29"/>
      <c r="Q1107" s="29"/>
      <c r="R1107" s="29"/>
      <c r="S1107" s="29"/>
    </row>
    <row r="1108" spans="13:19" ht="16.5" customHeight="1" x14ac:dyDescent="0.2">
      <c r="M1108" s="29"/>
      <c r="N1108" s="29"/>
      <c r="O1108" s="29"/>
      <c r="P1108" s="29"/>
      <c r="Q1108" s="29"/>
      <c r="R1108" s="29"/>
      <c r="S1108" s="29"/>
    </row>
    <row r="1109" spans="13:19" ht="16.5" customHeight="1" x14ac:dyDescent="0.2">
      <c r="M1109" s="29"/>
      <c r="N1109" s="29"/>
      <c r="O1109" s="29"/>
      <c r="P1109" s="29"/>
      <c r="Q1109" s="29"/>
      <c r="R1109" s="29"/>
      <c r="S1109" s="29"/>
    </row>
    <row r="1110" spans="13:19" ht="16.5" customHeight="1" x14ac:dyDescent="0.2">
      <c r="M1110" s="29"/>
      <c r="N1110" s="29"/>
      <c r="O1110" s="29"/>
      <c r="P1110" s="29"/>
      <c r="Q1110" s="29"/>
      <c r="R1110" s="29"/>
      <c r="S1110" s="29"/>
    </row>
    <row r="1111" spans="13:19" ht="16.5" customHeight="1" x14ac:dyDescent="0.2">
      <c r="M1111" s="29"/>
      <c r="N1111" s="29"/>
      <c r="O1111" s="29"/>
      <c r="P1111" s="29"/>
      <c r="Q1111" s="29"/>
      <c r="R1111" s="29"/>
      <c r="S1111" s="29"/>
    </row>
    <row r="1112" spans="13:19" ht="16.5" customHeight="1" x14ac:dyDescent="0.2">
      <c r="M1112" s="29"/>
      <c r="N1112" s="29"/>
      <c r="O1112" s="29"/>
      <c r="P1112" s="29"/>
      <c r="Q1112" s="29"/>
      <c r="R1112" s="29"/>
      <c r="S1112" s="29"/>
    </row>
    <row r="1113" spans="13:19" ht="16.5" customHeight="1" x14ac:dyDescent="0.2">
      <c r="M1113" s="29"/>
      <c r="N1113" s="29"/>
      <c r="O1113" s="29"/>
      <c r="P1113" s="29"/>
      <c r="Q1113" s="29"/>
      <c r="R1113" s="29"/>
      <c r="S1113" s="29"/>
    </row>
    <row r="1114" spans="13:19" ht="16.5" customHeight="1" x14ac:dyDescent="0.2">
      <c r="M1114" s="29"/>
      <c r="N1114" s="29"/>
      <c r="O1114" s="29"/>
      <c r="P1114" s="29"/>
      <c r="Q1114" s="29"/>
      <c r="R1114" s="29"/>
      <c r="S1114" s="29"/>
    </row>
    <row r="1115" spans="13:19" ht="16.5" customHeight="1" x14ac:dyDescent="0.2">
      <c r="M1115" s="29"/>
      <c r="N1115" s="29"/>
      <c r="O1115" s="29"/>
      <c r="P1115" s="29"/>
      <c r="Q1115" s="29"/>
      <c r="R1115" s="29"/>
      <c r="S1115" s="29"/>
    </row>
    <row r="1116" spans="13:19" ht="16.5" customHeight="1" x14ac:dyDescent="0.2">
      <c r="M1116" s="29"/>
      <c r="N1116" s="29"/>
      <c r="O1116" s="29"/>
      <c r="P1116" s="29"/>
      <c r="Q1116" s="29"/>
      <c r="R1116" s="29"/>
      <c r="S1116" s="29"/>
    </row>
    <row r="1117" spans="13:19" ht="16.5" customHeight="1" x14ac:dyDescent="0.2">
      <c r="M1117" s="29"/>
      <c r="N1117" s="29"/>
      <c r="O1117" s="29"/>
      <c r="P1117" s="29"/>
      <c r="Q1117" s="29"/>
      <c r="R1117" s="29"/>
      <c r="S1117" s="29"/>
    </row>
    <row r="1118" spans="13:19" ht="16.5" customHeight="1" x14ac:dyDescent="0.2">
      <c r="M1118" s="29"/>
      <c r="N1118" s="29"/>
      <c r="O1118" s="29"/>
      <c r="P1118" s="29"/>
      <c r="Q1118" s="29"/>
      <c r="R1118" s="29"/>
      <c r="S1118" s="29"/>
    </row>
    <row r="1119" spans="13:19" ht="16.5" customHeight="1" x14ac:dyDescent="0.2">
      <c r="M1119" s="29"/>
      <c r="N1119" s="29"/>
      <c r="O1119" s="29"/>
      <c r="P1119" s="29"/>
      <c r="Q1119" s="29"/>
      <c r="R1119" s="29"/>
      <c r="S1119" s="29"/>
    </row>
    <row r="1120" spans="13:19" ht="16.5" customHeight="1" x14ac:dyDescent="0.2">
      <c r="M1120" s="29"/>
      <c r="N1120" s="29"/>
      <c r="O1120" s="29"/>
      <c r="P1120" s="29"/>
      <c r="Q1120" s="29"/>
      <c r="R1120" s="29"/>
      <c r="S1120" s="29"/>
    </row>
    <row r="1121" spans="13:19" ht="16.5" customHeight="1" x14ac:dyDescent="0.2">
      <c r="M1121" s="29"/>
      <c r="N1121" s="29"/>
      <c r="O1121" s="29"/>
      <c r="P1121" s="29"/>
      <c r="Q1121" s="29"/>
      <c r="R1121" s="29"/>
      <c r="S1121" s="29"/>
    </row>
    <row r="1122" spans="13:19" ht="16.5" customHeight="1" x14ac:dyDescent="0.2">
      <c r="M1122" s="29"/>
      <c r="N1122" s="29"/>
      <c r="O1122" s="29"/>
      <c r="P1122" s="29"/>
      <c r="Q1122" s="29"/>
      <c r="R1122" s="29"/>
      <c r="S1122" s="29"/>
    </row>
    <row r="1123" spans="13:19" ht="16.5" customHeight="1" x14ac:dyDescent="0.2">
      <c r="M1123" s="29"/>
      <c r="N1123" s="29"/>
      <c r="O1123" s="29"/>
      <c r="P1123" s="29"/>
      <c r="Q1123" s="29"/>
      <c r="R1123" s="29"/>
      <c r="S1123" s="29"/>
    </row>
    <row r="1124" spans="13:19" ht="16.5" customHeight="1" x14ac:dyDescent="0.2">
      <c r="M1124" s="29"/>
      <c r="N1124" s="29"/>
      <c r="O1124" s="29"/>
      <c r="P1124" s="29"/>
      <c r="Q1124" s="29"/>
      <c r="R1124" s="29"/>
      <c r="S1124" s="29"/>
    </row>
    <row r="1125" spans="13:19" ht="16.5" customHeight="1" x14ac:dyDescent="0.2">
      <c r="M1125" s="29"/>
      <c r="N1125" s="29"/>
      <c r="O1125" s="29"/>
      <c r="P1125" s="29"/>
      <c r="Q1125" s="29"/>
      <c r="R1125" s="29"/>
      <c r="S1125" s="29"/>
    </row>
    <row r="1126" spans="13:19" ht="16.5" customHeight="1" x14ac:dyDescent="0.2">
      <c r="M1126" s="29"/>
      <c r="N1126" s="29"/>
      <c r="O1126" s="29"/>
      <c r="P1126" s="29"/>
      <c r="Q1126" s="29"/>
      <c r="R1126" s="29"/>
      <c r="S1126" s="29"/>
    </row>
    <row r="1127" spans="13:19" ht="16.5" customHeight="1" x14ac:dyDescent="0.2">
      <c r="M1127" s="29"/>
      <c r="N1127" s="29"/>
      <c r="O1127" s="29"/>
      <c r="P1127" s="29"/>
      <c r="Q1127" s="29"/>
      <c r="R1127" s="29"/>
      <c r="S1127" s="29"/>
    </row>
    <row r="1128" spans="13:19" ht="16.5" customHeight="1" x14ac:dyDescent="0.2">
      <c r="M1128" s="29"/>
      <c r="N1128" s="29"/>
      <c r="O1128" s="29"/>
      <c r="P1128" s="29"/>
      <c r="Q1128" s="29"/>
      <c r="R1128" s="29"/>
      <c r="S1128" s="29"/>
    </row>
    <row r="1129" spans="13:19" ht="16.5" customHeight="1" x14ac:dyDescent="0.2">
      <c r="M1129" s="29"/>
      <c r="N1129" s="29"/>
      <c r="O1129" s="29"/>
      <c r="P1129" s="29"/>
      <c r="Q1129" s="29"/>
      <c r="R1129" s="29"/>
      <c r="S1129" s="29"/>
    </row>
    <row r="1130" spans="13:19" ht="16.5" customHeight="1" x14ac:dyDescent="0.2">
      <c r="M1130" s="29"/>
      <c r="N1130" s="29"/>
      <c r="O1130" s="29"/>
      <c r="P1130" s="29"/>
      <c r="Q1130" s="29"/>
      <c r="R1130" s="29"/>
      <c r="S1130" s="29"/>
    </row>
    <row r="1131" spans="13:19" ht="16.5" customHeight="1" x14ac:dyDescent="0.2">
      <c r="M1131" s="29"/>
      <c r="N1131" s="29"/>
      <c r="O1131" s="29"/>
      <c r="P1131" s="29"/>
      <c r="Q1131" s="29"/>
      <c r="R1131" s="29"/>
      <c r="S1131" s="29"/>
    </row>
    <row r="1132" spans="13:19" ht="16.5" customHeight="1" x14ac:dyDescent="0.2">
      <c r="M1132" s="29"/>
      <c r="N1132" s="29"/>
      <c r="O1132" s="29"/>
      <c r="P1132" s="29"/>
      <c r="Q1132" s="29"/>
      <c r="R1132" s="29"/>
      <c r="S1132" s="29"/>
    </row>
    <row r="1133" spans="13:19" ht="16.5" customHeight="1" x14ac:dyDescent="0.2">
      <c r="M1133" s="29"/>
      <c r="N1133" s="29"/>
      <c r="O1133" s="29"/>
      <c r="P1133" s="29"/>
      <c r="Q1133" s="29"/>
      <c r="R1133" s="29"/>
      <c r="S1133" s="29"/>
    </row>
    <row r="1134" spans="13:19" ht="16.5" customHeight="1" x14ac:dyDescent="0.2">
      <c r="M1134" s="29"/>
      <c r="N1134" s="29"/>
      <c r="O1134" s="29"/>
      <c r="P1134" s="29"/>
      <c r="Q1134" s="29"/>
      <c r="R1134" s="29"/>
      <c r="S1134" s="29"/>
    </row>
    <row r="1135" spans="13:19" ht="16.5" customHeight="1" x14ac:dyDescent="0.2">
      <c r="M1135" s="29"/>
      <c r="N1135" s="29"/>
      <c r="O1135" s="29"/>
      <c r="P1135" s="29"/>
      <c r="Q1135" s="29"/>
      <c r="R1135" s="29"/>
      <c r="S1135" s="29"/>
    </row>
    <row r="1136" spans="13:19" ht="16.5" customHeight="1" x14ac:dyDescent="0.2">
      <c r="M1136" s="29"/>
      <c r="N1136" s="29"/>
      <c r="O1136" s="29"/>
      <c r="P1136" s="29"/>
      <c r="Q1136" s="29"/>
      <c r="R1136" s="29"/>
      <c r="S1136" s="29"/>
    </row>
    <row r="1137" spans="13:19" ht="16.5" customHeight="1" x14ac:dyDescent="0.2">
      <c r="M1137" s="29"/>
      <c r="N1137" s="29"/>
      <c r="O1137" s="29"/>
      <c r="P1137" s="29"/>
      <c r="Q1137" s="29"/>
      <c r="R1137" s="29"/>
      <c r="S1137" s="29"/>
    </row>
    <row r="1138" spans="13:19" ht="16.5" customHeight="1" x14ac:dyDescent="0.2">
      <c r="M1138" s="29"/>
      <c r="N1138" s="29"/>
      <c r="O1138" s="29"/>
      <c r="P1138" s="29"/>
      <c r="Q1138" s="29"/>
      <c r="R1138" s="29"/>
      <c r="S1138" s="29"/>
    </row>
    <row r="1139" spans="13:19" ht="16.5" customHeight="1" x14ac:dyDescent="0.2">
      <c r="M1139" s="29"/>
      <c r="N1139" s="29"/>
      <c r="O1139" s="29"/>
      <c r="P1139" s="29"/>
      <c r="Q1139" s="29"/>
      <c r="R1139" s="29"/>
      <c r="S1139" s="29"/>
    </row>
    <row r="1140" spans="13:19" ht="16.5" customHeight="1" x14ac:dyDescent="0.2">
      <c r="M1140" s="29"/>
      <c r="N1140" s="29"/>
      <c r="O1140" s="29"/>
      <c r="P1140" s="29"/>
      <c r="Q1140" s="29"/>
      <c r="R1140" s="29"/>
      <c r="S1140" s="29"/>
    </row>
    <row r="1141" spans="13:19" ht="16.5" customHeight="1" x14ac:dyDescent="0.2">
      <c r="M1141" s="29"/>
      <c r="N1141" s="29"/>
      <c r="O1141" s="29"/>
      <c r="P1141" s="29"/>
      <c r="Q1141" s="29"/>
      <c r="R1141" s="29"/>
      <c r="S1141" s="29"/>
    </row>
    <row r="1142" spans="13:19" ht="16.5" customHeight="1" x14ac:dyDescent="0.2">
      <c r="M1142" s="29"/>
      <c r="N1142" s="29"/>
      <c r="O1142" s="29"/>
      <c r="P1142" s="29"/>
      <c r="Q1142" s="29"/>
      <c r="R1142" s="29"/>
      <c r="S1142" s="29"/>
    </row>
    <row r="1143" spans="13:19" ht="16.5" customHeight="1" x14ac:dyDescent="0.2">
      <c r="M1143" s="29"/>
      <c r="N1143" s="29"/>
      <c r="O1143" s="29"/>
      <c r="P1143" s="29"/>
      <c r="Q1143" s="29"/>
      <c r="R1143" s="29"/>
      <c r="S1143" s="29"/>
    </row>
    <row r="1144" spans="13:19" ht="16.5" customHeight="1" x14ac:dyDescent="0.2">
      <c r="M1144" s="29"/>
      <c r="N1144" s="29"/>
      <c r="O1144" s="29"/>
      <c r="P1144" s="29"/>
      <c r="Q1144" s="29"/>
      <c r="R1144" s="29"/>
      <c r="S1144" s="29"/>
    </row>
    <row r="1145" spans="13:19" ht="16.5" customHeight="1" x14ac:dyDescent="0.2">
      <c r="M1145" s="29"/>
      <c r="N1145" s="29"/>
      <c r="O1145" s="29"/>
      <c r="P1145" s="29"/>
      <c r="Q1145" s="29"/>
      <c r="R1145" s="29"/>
      <c r="S1145" s="29"/>
    </row>
    <row r="1146" spans="13:19" ht="16.5" customHeight="1" x14ac:dyDescent="0.2">
      <c r="M1146" s="29"/>
      <c r="N1146" s="29"/>
      <c r="O1146" s="29"/>
      <c r="P1146" s="29"/>
      <c r="Q1146" s="29"/>
      <c r="R1146" s="29"/>
      <c r="S1146" s="29"/>
    </row>
    <row r="1147" spans="13:19" ht="16.5" customHeight="1" x14ac:dyDescent="0.2">
      <c r="M1147" s="29"/>
      <c r="N1147" s="29"/>
      <c r="O1147" s="29"/>
      <c r="P1147" s="29"/>
      <c r="Q1147" s="29"/>
      <c r="R1147" s="29"/>
      <c r="S1147" s="29"/>
    </row>
    <row r="1148" spans="13:19" ht="16.5" customHeight="1" x14ac:dyDescent="0.2">
      <c r="M1148" s="29"/>
      <c r="N1148" s="29"/>
      <c r="O1148" s="29"/>
      <c r="P1148" s="29"/>
      <c r="Q1148" s="29"/>
      <c r="R1148" s="29"/>
      <c r="S1148" s="29"/>
    </row>
    <row r="1149" spans="13:19" ht="16.5" customHeight="1" x14ac:dyDescent="0.2">
      <c r="M1149" s="29"/>
      <c r="N1149" s="29"/>
      <c r="O1149" s="29"/>
      <c r="P1149" s="29"/>
      <c r="Q1149" s="29"/>
      <c r="R1149" s="29"/>
      <c r="S1149" s="29"/>
    </row>
    <row r="1150" spans="13:19" ht="16.5" customHeight="1" x14ac:dyDescent="0.2">
      <c r="M1150" s="29"/>
      <c r="N1150" s="29"/>
      <c r="O1150" s="29"/>
      <c r="P1150" s="29"/>
      <c r="Q1150" s="29"/>
      <c r="R1150" s="29"/>
      <c r="S1150" s="29"/>
    </row>
    <row r="1151" spans="13:19" ht="16.5" customHeight="1" x14ac:dyDescent="0.2">
      <c r="M1151" s="29"/>
      <c r="N1151" s="29"/>
      <c r="O1151" s="29"/>
      <c r="P1151" s="29"/>
      <c r="Q1151" s="29"/>
      <c r="R1151" s="29"/>
      <c r="S1151" s="29"/>
    </row>
    <row r="1152" spans="13:19" ht="16.5" customHeight="1" x14ac:dyDescent="0.2">
      <c r="M1152" s="29"/>
      <c r="N1152" s="29"/>
      <c r="O1152" s="29"/>
      <c r="P1152" s="29"/>
      <c r="Q1152" s="29"/>
      <c r="R1152" s="29"/>
      <c r="S1152" s="29"/>
    </row>
    <row r="1153" spans="13:19" ht="16.5" customHeight="1" x14ac:dyDescent="0.2">
      <c r="M1153" s="29"/>
      <c r="N1153" s="29"/>
      <c r="O1153" s="29"/>
      <c r="P1153" s="29"/>
      <c r="Q1153" s="29"/>
      <c r="R1153" s="29"/>
      <c r="S1153" s="29"/>
    </row>
    <row r="1154" spans="13:19" ht="16.5" customHeight="1" x14ac:dyDescent="0.2">
      <c r="M1154" s="29"/>
      <c r="N1154" s="29"/>
      <c r="O1154" s="29"/>
      <c r="P1154" s="29"/>
      <c r="Q1154" s="29"/>
      <c r="R1154" s="29"/>
      <c r="S1154" s="29"/>
    </row>
    <row r="1155" spans="13:19" ht="16.5" customHeight="1" x14ac:dyDescent="0.2">
      <c r="M1155" s="29"/>
      <c r="N1155" s="29"/>
      <c r="O1155" s="29"/>
      <c r="P1155" s="29"/>
      <c r="Q1155" s="29"/>
      <c r="R1155" s="29"/>
      <c r="S1155" s="29"/>
    </row>
    <row r="1156" spans="13:19" ht="16.5" customHeight="1" x14ac:dyDescent="0.2">
      <c r="M1156" s="29"/>
      <c r="N1156" s="29"/>
      <c r="O1156" s="29"/>
      <c r="P1156" s="29"/>
      <c r="Q1156" s="29"/>
      <c r="R1156" s="29"/>
      <c r="S1156" s="29"/>
    </row>
    <row r="1157" spans="13:19" ht="16.5" customHeight="1" x14ac:dyDescent="0.2">
      <c r="M1157" s="29"/>
      <c r="N1157" s="29"/>
      <c r="O1157" s="29"/>
      <c r="P1157" s="29"/>
      <c r="Q1157" s="29"/>
      <c r="R1157" s="29"/>
      <c r="S1157" s="29"/>
    </row>
    <row r="1158" spans="13:19" ht="16.5" customHeight="1" x14ac:dyDescent="0.2">
      <c r="M1158" s="29"/>
      <c r="N1158" s="29"/>
      <c r="O1158" s="29"/>
      <c r="P1158" s="29"/>
      <c r="Q1158" s="29"/>
      <c r="R1158" s="29"/>
      <c r="S1158" s="29"/>
    </row>
    <row r="1159" spans="13:19" ht="16.5" customHeight="1" x14ac:dyDescent="0.2">
      <c r="M1159" s="29"/>
      <c r="N1159" s="29"/>
      <c r="O1159" s="29"/>
      <c r="P1159" s="29"/>
      <c r="Q1159" s="29"/>
      <c r="R1159" s="29"/>
      <c r="S1159" s="29"/>
    </row>
    <row r="1160" spans="13:19" ht="16.5" customHeight="1" x14ac:dyDescent="0.2">
      <c r="M1160" s="29"/>
      <c r="N1160" s="29"/>
      <c r="O1160" s="29"/>
      <c r="P1160" s="29"/>
      <c r="Q1160" s="29"/>
      <c r="R1160" s="29"/>
      <c r="S1160" s="29"/>
    </row>
    <row r="1161" spans="13:19" ht="16.5" customHeight="1" x14ac:dyDescent="0.2">
      <c r="M1161" s="29"/>
      <c r="N1161" s="29"/>
      <c r="O1161" s="29"/>
      <c r="P1161" s="29"/>
      <c r="Q1161" s="29"/>
      <c r="R1161" s="29"/>
      <c r="S1161" s="29"/>
    </row>
    <row r="1162" spans="13:19" ht="16.5" customHeight="1" x14ac:dyDescent="0.2">
      <c r="M1162" s="29"/>
      <c r="N1162" s="29"/>
      <c r="O1162" s="29"/>
      <c r="P1162" s="29"/>
      <c r="Q1162" s="29"/>
      <c r="R1162" s="29"/>
      <c r="S1162" s="29"/>
    </row>
    <row r="1163" spans="13:19" ht="16.5" customHeight="1" x14ac:dyDescent="0.2">
      <c r="M1163" s="29"/>
      <c r="N1163" s="29"/>
      <c r="O1163" s="29"/>
      <c r="P1163" s="29"/>
      <c r="Q1163" s="29"/>
      <c r="R1163" s="29"/>
      <c r="S1163" s="29"/>
    </row>
    <row r="1164" spans="13:19" ht="16.5" customHeight="1" x14ac:dyDescent="0.2">
      <c r="M1164" s="29"/>
      <c r="N1164" s="29"/>
      <c r="O1164" s="29"/>
      <c r="P1164" s="29"/>
      <c r="Q1164" s="29"/>
      <c r="R1164" s="29"/>
      <c r="S1164" s="29"/>
    </row>
    <row r="1165" spans="13:19" ht="16.5" customHeight="1" x14ac:dyDescent="0.2">
      <c r="M1165" s="29"/>
      <c r="N1165" s="29"/>
      <c r="O1165" s="29"/>
      <c r="P1165" s="29"/>
      <c r="Q1165" s="29"/>
      <c r="R1165" s="29"/>
      <c r="S1165" s="29"/>
    </row>
    <row r="1166" spans="13:19" ht="16.5" customHeight="1" x14ac:dyDescent="0.2">
      <c r="M1166" s="29"/>
      <c r="N1166" s="29"/>
      <c r="O1166" s="29"/>
      <c r="P1166" s="29"/>
      <c r="Q1166" s="29"/>
      <c r="R1166" s="29"/>
      <c r="S1166" s="29"/>
    </row>
    <row r="1167" spans="13:19" ht="16.5" customHeight="1" x14ac:dyDescent="0.2">
      <c r="M1167" s="29"/>
      <c r="N1167" s="29"/>
      <c r="O1167" s="29"/>
      <c r="P1167" s="29"/>
      <c r="Q1167" s="29"/>
      <c r="R1167" s="29"/>
      <c r="S1167" s="29"/>
    </row>
    <row r="1168" spans="13:19" ht="16.5" customHeight="1" x14ac:dyDescent="0.2">
      <c r="M1168" s="29"/>
      <c r="N1168" s="29"/>
      <c r="O1168" s="29"/>
      <c r="P1168" s="29"/>
      <c r="Q1168" s="29"/>
      <c r="R1168" s="29"/>
      <c r="S1168" s="29"/>
    </row>
    <row r="1169" spans="13:19" ht="16.5" customHeight="1" x14ac:dyDescent="0.2">
      <c r="M1169" s="29"/>
      <c r="N1169" s="29"/>
      <c r="O1169" s="29"/>
      <c r="P1169" s="29"/>
      <c r="Q1169" s="29"/>
      <c r="R1169" s="29"/>
      <c r="S1169" s="29"/>
    </row>
    <row r="1170" spans="13:19" ht="16.5" customHeight="1" x14ac:dyDescent="0.2">
      <c r="M1170" s="29"/>
      <c r="N1170" s="29"/>
      <c r="O1170" s="29"/>
      <c r="P1170" s="29"/>
      <c r="Q1170" s="29"/>
      <c r="R1170" s="29"/>
      <c r="S1170" s="29"/>
    </row>
    <row r="1171" spans="13:19" ht="16.5" customHeight="1" x14ac:dyDescent="0.2">
      <c r="M1171" s="29"/>
      <c r="N1171" s="29"/>
      <c r="O1171" s="29"/>
      <c r="P1171" s="29"/>
      <c r="Q1171" s="29"/>
      <c r="R1171" s="29"/>
      <c r="S1171" s="29"/>
    </row>
    <row r="1172" spans="13:19" ht="16.5" customHeight="1" x14ac:dyDescent="0.2">
      <c r="M1172" s="29"/>
      <c r="N1172" s="29"/>
      <c r="O1172" s="29"/>
      <c r="P1172" s="29"/>
      <c r="Q1172" s="29"/>
      <c r="R1172" s="29"/>
      <c r="S1172" s="29"/>
    </row>
    <row r="1173" spans="13:19" ht="16.5" customHeight="1" x14ac:dyDescent="0.2">
      <c r="M1173" s="29"/>
      <c r="N1173" s="29"/>
      <c r="O1173" s="29"/>
      <c r="P1173" s="29"/>
      <c r="Q1173" s="29"/>
      <c r="R1173" s="29"/>
      <c r="S1173" s="29"/>
    </row>
    <row r="1174" spans="13:19" ht="16.5" customHeight="1" x14ac:dyDescent="0.2">
      <c r="M1174" s="29"/>
      <c r="N1174" s="29"/>
      <c r="O1174" s="29"/>
      <c r="P1174" s="29"/>
      <c r="Q1174" s="29"/>
      <c r="R1174" s="29"/>
      <c r="S1174" s="29"/>
    </row>
    <row r="1175" spans="13:19" ht="16.5" customHeight="1" x14ac:dyDescent="0.2">
      <c r="M1175" s="29"/>
      <c r="N1175" s="29"/>
      <c r="O1175" s="29"/>
      <c r="P1175" s="29"/>
      <c r="Q1175" s="29"/>
      <c r="R1175" s="29"/>
      <c r="S1175" s="29"/>
    </row>
    <row r="1176" spans="13:19" ht="16.5" customHeight="1" x14ac:dyDescent="0.2">
      <c r="M1176" s="29"/>
      <c r="N1176" s="29"/>
      <c r="O1176" s="29"/>
      <c r="P1176" s="29"/>
      <c r="Q1176" s="29"/>
      <c r="R1176" s="29"/>
      <c r="S1176" s="29"/>
    </row>
    <row r="1177" spans="13:19" ht="16.5" customHeight="1" x14ac:dyDescent="0.2">
      <c r="M1177" s="29"/>
      <c r="N1177" s="29"/>
      <c r="O1177" s="29"/>
      <c r="P1177" s="29"/>
      <c r="Q1177" s="29"/>
      <c r="R1177" s="29"/>
      <c r="S1177" s="29"/>
    </row>
    <row r="1178" spans="13:19" ht="16.5" customHeight="1" x14ac:dyDescent="0.2">
      <c r="M1178" s="29"/>
      <c r="N1178" s="29"/>
      <c r="O1178" s="29"/>
      <c r="P1178" s="29"/>
      <c r="Q1178" s="29"/>
      <c r="R1178" s="29"/>
      <c r="S1178" s="29"/>
    </row>
    <row r="1179" spans="13:19" ht="16.5" customHeight="1" x14ac:dyDescent="0.2">
      <c r="M1179" s="29"/>
      <c r="N1179" s="29"/>
      <c r="O1179" s="29"/>
      <c r="P1179" s="29"/>
      <c r="Q1179" s="29"/>
      <c r="R1179" s="29"/>
      <c r="S1179" s="29"/>
    </row>
    <row r="1180" spans="13:19" ht="16.5" customHeight="1" x14ac:dyDescent="0.2">
      <c r="M1180" s="29"/>
      <c r="N1180" s="29"/>
      <c r="O1180" s="29"/>
      <c r="P1180" s="29"/>
      <c r="Q1180" s="29"/>
      <c r="R1180" s="29"/>
      <c r="S1180" s="29"/>
    </row>
    <row r="1181" spans="13:19" ht="16.5" customHeight="1" x14ac:dyDescent="0.2">
      <c r="M1181" s="29"/>
      <c r="N1181" s="29"/>
      <c r="O1181" s="29"/>
      <c r="P1181" s="29"/>
      <c r="Q1181" s="29"/>
      <c r="R1181" s="29"/>
      <c r="S1181" s="29"/>
    </row>
    <row r="1182" spans="13:19" ht="16.5" customHeight="1" x14ac:dyDescent="0.2">
      <c r="M1182" s="29"/>
      <c r="N1182" s="29"/>
      <c r="O1182" s="29"/>
      <c r="P1182" s="29"/>
      <c r="Q1182" s="29"/>
      <c r="R1182" s="29"/>
      <c r="S1182" s="29"/>
    </row>
    <row r="1183" spans="13:19" ht="16.5" customHeight="1" x14ac:dyDescent="0.2">
      <c r="M1183" s="29"/>
      <c r="N1183" s="29"/>
      <c r="O1183" s="29"/>
      <c r="P1183" s="29"/>
      <c r="Q1183" s="29"/>
      <c r="R1183" s="29"/>
      <c r="S1183" s="29"/>
    </row>
    <row r="1184" spans="13:19" ht="16.5" customHeight="1" x14ac:dyDescent="0.2">
      <c r="M1184" s="29"/>
      <c r="N1184" s="29"/>
      <c r="O1184" s="29"/>
      <c r="P1184" s="29"/>
      <c r="Q1184" s="29"/>
      <c r="R1184" s="29"/>
      <c r="S1184" s="29"/>
    </row>
    <row r="1185" spans="13:19" ht="16.5" customHeight="1" x14ac:dyDescent="0.2">
      <c r="M1185" s="29"/>
      <c r="N1185" s="29"/>
      <c r="O1185" s="29"/>
      <c r="P1185" s="29"/>
      <c r="Q1185" s="29"/>
      <c r="R1185" s="29"/>
      <c r="S1185" s="29"/>
    </row>
    <row r="1186" spans="13:19" ht="16.5" customHeight="1" x14ac:dyDescent="0.2">
      <c r="M1186" s="29"/>
      <c r="N1186" s="29"/>
      <c r="O1186" s="29"/>
      <c r="P1186" s="29"/>
      <c r="Q1186" s="29"/>
      <c r="R1186" s="29"/>
      <c r="S1186" s="29"/>
    </row>
    <row r="1187" spans="13:19" ht="16.5" customHeight="1" x14ac:dyDescent="0.2">
      <c r="M1187" s="29"/>
      <c r="N1187" s="29"/>
      <c r="O1187" s="29"/>
      <c r="P1187" s="29"/>
      <c r="Q1187" s="29"/>
      <c r="R1187" s="29"/>
      <c r="S1187" s="29"/>
    </row>
    <row r="1188" spans="13:19" ht="16.5" customHeight="1" x14ac:dyDescent="0.2">
      <c r="M1188" s="29"/>
      <c r="N1188" s="29"/>
      <c r="O1188" s="29"/>
      <c r="P1188" s="29"/>
      <c r="Q1188" s="29"/>
      <c r="R1188" s="29"/>
      <c r="S1188" s="29"/>
    </row>
    <row r="1189" spans="13:19" ht="16.5" customHeight="1" x14ac:dyDescent="0.2">
      <c r="M1189" s="29"/>
      <c r="N1189" s="29"/>
      <c r="O1189" s="29"/>
      <c r="P1189" s="29"/>
      <c r="Q1189" s="29"/>
      <c r="R1189" s="29"/>
      <c r="S1189" s="29"/>
    </row>
    <row r="1190" spans="13:19" ht="16.5" customHeight="1" x14ac:dyDescent="0.2">
      <c r="M1190" s="29"/>
      <c r="N1190" s="29"/>
      <c r="O1190" s="29"/>
      <c r="P1190" s="29"/>
      <c r="Q1190" s="29"/>
      <c r="R1190" s="29"/>
      <c r="S1190" s="29"/>
    </row>
    <row r="1191" spans="13:19" ht="16.5" customHeight="1" x14ac:dyDescent="0.2">
      <c r="M1191" s="29"/>
      <c r="N1191" s="29"/>
      <c r="O1191" s="29"/>
      <c r="P1191" s="29"/>
      <c r="Q1191" s="29"/>
      <c r="R1191" s="29"/>
      <c r="S1191" s="29"/>
    </row>
    <row r="1192" spans="13:19" ht="16.5" customHeight="1" x14ac:dyDescent="0.2">
      <c r="M1192" s="29"/>
      <c r="N1192" s="29"/>
      <c r="O1192" s="29"/>
      <c r="P1192" s="29"/>
      <c r="Q1192" s="29"/>
      <c r="R1192" s="29"/>
      <c r="S1192" s="29"/>
    </row>
    <row r="1193" spans="13:19" ht="16.5" customHeight="1" x14ac:dyDescent="0.2">
      <c r="M1193" s="29"/>
      <c r="N1193" s="29"/>
      <c r="O1193" s="29"/>
      <c r="P1193" s="29"/>
      <c r="Q1193" s="29"/>
      <c r="R1193" s="29"/>
      <c r="S1193" s="29"/>
    </row>
    <row r="1194" spans="13:19" ht="16.5" customHeight="1" x14ac:dyDescent="0.2">
      <c r="M1194" s="29"/>
      <c r="N1194" s="29"/>
      <c r="O1194" s="29"/>
      <c r="P1194" s="29"/>
      <c r="Q1194" s="29"/>
      <c r="R1194" s="29"/>
      <c r="S1194" s="29"/>
    </row>
    <row r="1195" spans="13:19" ht="16.5" customHeight="1" x14ac:dyDescent="0.2">
      <c r="M1195" s="29"/>
      <c r="N1195" s="29"/>
      <c r="O1195" s="29"/>
      <c r="P1195" s="29"/>
      <c r="Q1195" s="29"/>
      <c r="R1195" s="29"/>
      <c r="S1195" s="29"/>
    </row>
    <row r="1196" spans="13:19" ht="16.5" customHeight="1" x14ac:dyDescent="0.2">
      <c r="M1196" s="29"/>
      <c r="N1196" s="29"/>
      <c r="O1196" s="29"/>
      <c r="P1196" s="29"/>
      <c r="Q1196" s="29"/>
      <c r="R1196" s="29"/>
      <c r="S1196" s="29"/>
    </row>
    <row r="1197" spans="13:19" ht="16.5" customHeight="1" x14ac:dyDescent="0.2">
      <c r="M1197" s="29"/>
      <c r="N1197" s="29"/>
      <c r="O1197" s="29"/>
      <c r="P1197" s="29"/>
      <c r="Q1197" s="29"/>
      <c r="R1197" s="29"/>
      <c r="S1197" s="29"/>
    </row>
    <row r="1198" spans="13:19" ht="16.5" customHeight="1" x14ac:dyDescent="0.2">
      <c r="M1198" s="29"/>
      <c r="N1198" s="29"/>
      <c r="O1198" s="29"/>
      <c r="P1198" s="29"/>
      <c r="Q1198" s="29"/>
      <c r="R1198" s="29"/>
      <c r="S1198" s="29"/>
    </row>
    <row r="1199" spans="13:19" ht="16.5" customHeight="1" x14ac:dyDescent="0.2">
      <c r="M1199" s="29"/>
      <c r="N1199" s="29"/>
      <c r="O1199" s="29"/>
      <c r="P1199" s="29"/>
      <c r="Q1199" s="29"/>
      <c r="R1199" s="29"/>
      <c r="S1199" s="29"/>
    </row>
    <row r="1200" spans="13:19" ht="16.5" customHeight="1" x14ac:dyDescent="0.2">
      <c r="M1200" s="29"/>
      <c r="N1200" s="29"/>
      <c r="O1200" s="29"/>
      <c r="P1200" s="29"/>
      <c r="Q1200" s="29"/>
      <c r="R1200" s="29"/>
      <c r="S1200" s="29"/>
    </row>
    <row r="1201" spans="13:19" ht="16.5" customHeight="1" x14ac:dyDescent="0.2">
      <c r="M1201" s="29"/>
      <c r="N1201" s="29"/>
      <c r="O1201" s="29"/>
      <c r="P1201" s="29"/>
      <c r="Q1201" s="29"/>
      <c r="R1201" s="29"/>
      <c r="S1201" s="29"/>
    </row>
    <row r="1202" spans="13:19" ht="16.5" customHeight="1" x14ac:dyDescent="0.2">
      <c r="M1202" s="29"/>
      <c r="N1202" s="29"/>
      <c r="O1202" s="29"/>
      <c r="P1202" s="29"/>
      <c r="Q1202" s="29"/>
      <c r="R1202" s="29"/>
      <c r="S1202" s="29"/>
    </row>
    <row r="1203" spans="13:19" ht="16.5" customHeight="1" x14ac:dyDescent="0.2">
      <c r="M1203" s="29"/>
      <c r="N1203" s="29"/>
      <c r="O1203" s="29"/>
      <c r="P1203" s="29"/>
      <c r="Q1203" s="29"/>
      <c r="R1203" s="29"/>
      <c r="S1203" s="29"/>
    </row>
    <row r="1204" spans="13:19" ht="16.5" customHeight="1" x14ac:dyDescent="0.2">
      <c r="M1204" s="29"/>
      <c r="N1204" s="29"/>
      <c r="O1204" s="29"/>
      <c r="P1204" s="29"/>
      <c r="Q1204" s="29"/>
      <c r="R1204" s="29"/>
      <c r="S1204" s="29"/>
    </row>
    <row r="1205" spans="13:19" ht="16.5" customHeight="1" x14ac:dyDescent="0.2">
      <c r="M1205" s="29"/>
      <c r="N1205" s="29"/>
      <c r="O1205" s="29"/>
      <c r="P1205" s="29"/>
      <c r="Q1205" s="29"/>
      <c r="R1205" s="29"/>
      <c r="S1205" s="29"/>
    </row>
    <row r="1206" spans="13:19" ht="16.5" customHeight="1" x14ac:dyDescent="0.2">
      <c r="M1206" s="29"/>
      <c r="N1206" s="29"/>
      <c r="O1206" s="29"/>
      <c r="P1206" s="29"/>
      <c r="Q1206" s="29"/>
      <c r="R1206" s="29"/>
      <c r="S1206" s="29"/>
    </row>
    <row r="1207" spans="13:19" ht="16.5" customHeight="1" x14ac:dyDescent="0.2">
      <c r="M1207" s="29"/>
      <c r="N1207" s="29"/>
      <c r="O1207" s="29"/>
      <c r="P1207" s="29"/>
      <c r="Q1207" s="29"/>
      <c r="R1207" s="29"/>
      <c r="S1207" s="29"/>
    </row>
    <row r="1208" spans="13:19" ht="16.5" customHeight="1" x14ac:dyDescent="0.2">
      <c r="M1208" s="29"/>
      <c r="N1208" s="29"/>
      <c r="O1208" s="29"/>
      <c r="P1208" s="29"/>
      <c r="Q1208" s="29"/>
      <c r="R1208" s="29"/>
      <c r="S1208" s="29"/>
    </row>
    <row r="1209" spans="13:19" ht="16.5" customHeight="1" x14ac:dyDescent="0.2">
      <c r="M1209" s="29"/>
      <c r="N1209" s="29"/>
      <c r="O1209" s="29"/>
      <c r="P1209" s="29"/>
      <c r="Q1209" s="29"/>
      <c r="R1209" s="29"/>
      <c r="S1209" s="29"/>
    </row>
    <row r="1210" spans="13:19" ht="16.5" customHeight="1" x14ac:dyDescent="0.2">
      <c r="M1210" s="29"/>
      <c r="N1210" s="29"/>
      <c r="O1210" s="29"/>
      <c r="P1210" s="29"/>
      <c r="Q1210" s="29"/>
      <c r="R1210" s="29"/>
      <c r="S1210" s="29"/>
    </row>
    <row r="1211" spans="13:19" ht="16.5" customHeight="1" x14ac:dyDescent="0.2">
      <c r="M1211" s="29"/>
      <c r="N1211" s="29"/>
      <c r="O1211" s="29"/>
      <c r="P1211" s="29"/>
      <c r="Q1211" s="29"/>
      <c r="R1211" s="29"/>
      <c r="S1211" s="29"/>
    </row>
    <row r="1212" spans="13:19" ht="16.5" customHeight="1" x14ac:dyDescent="0.2">
      <c r="M1212" s="29"/>
      <c r="N1212" s="29"/>
      <c r="O1212" s="29"/>
      <c r="P1212" s="29"/>
      <c r="Q1212" s="29"/>
      <c r="R1212" s="29"/>
      <c r="S1212" s="29"/>
    </row>
    <row r="1213" spans="13:19" ht="16.5" customHeight="1" x14ac:dyDescent="0.2">
      <c r="M1213" s="29"/>
      <c r="N1213" s="29"/>
      <c r="O1213" s="29"/>
      <c r="P1213" s="29"/>
      <c r="Q1213" s="29"/>
      <c r="R1213" s="29"/>
      <c r="S1213" s="29"/>
    </row>
    <row r="1214" spans="13:19" ht="16.5" customHeight="1" x14ac:dyDescent="0.2">
      <c r="M1214" s="29"/>
      <c r="N1214" s="29"/>
      <c r="O1214" s="29"/>
      <c r="P1214" s="29"/>
      <c r="Q1214" s="29"/>
      <c r="R1214" s="29"/>
      <c r="S1214" s="29"/>
    </row>
    <row r="1215" spans="13:19" ht="16.5" customHeight="1" x14ac:dyDescent="0.2">
      <c r="M1215" s="29"/>
      <c r="N1215" s="29"/>
      <c r="O1215" s="29"/>
      <c r="P1215" s="29"/>
      <c r="Q1215" s="29"/>
      <c r="R1215" s="29"/>
      <c r="S1215" s="29"/>
    </row>
    <row r="1216" spans="13:19" ht="16.5" customHeight="1" x14ac:dyDescent="0.2">
      <c r="M1216" s="29"/>
      <c r="N1216" s="29"/>
      <c r="O1216" s="29"/>
      <c r="P1216" s="29"/>
      <c r="Q1216" s="29"/>
      <c r="R1216" s="29"/>
      <c r="S1216" s="29"/>
    </row>
    <row r="1217" spans="13:19" ht="16.5" customHeight="1" x14ac:dyDescent="0.2">
      <c r="M1217" s="29"/>
      <c r="N1217" s="29"/>
      <c r="O1217" s="29"/>
      <c r="P1217" s="29"/>
      <c r="Q1217" s="29"/>
      <c r="R1217" s="29"/>
      <c r="S1217" s="29"/>
    </row>
    <row r="1218" spans="13:19" ht="16.5" customHeight="1" x14ac:dyDescent="0.2">
      <c r="M1218" s="29"/>
      <c r="N1218" s="29"/>
      <c r="O1218" s="29"/>
      <c r="P1218" s="29"/>
      <c r="Q1218" s="29"/>
      <c r="R1218" s="29"/>
      <c r="S1218" s="29"/>
    </row>
    <row r="1219" spans="13:19" ht="16.5" customHeight="1" x14ac:dyDescent="0.2">
      <c r="M1219" s="29"/>
      <c r="N1219" s="29"/>
      <c r="O1219" s="29"/>
      <c r="P1219" s="29"/>
      <c r="Q1219" s="29"/>
      <c r="R1219" s="29"/>
      <c r="S1219" s="29"/>
    </row>
    <row r="1220" spans="13:19" ht="16.5" customHeight="1" x14ac:dyDescent="0.2">
      <c r="M1220" s="29"/>
      <c r="N1220" s="29"/>
      <c r="O1220" s="29"/>
      <c r="P1220" s="29"/>
      <c r="Q1220" s="29"/>
      <c r="R1220" s="29"/>
      <c r="S1220" s="29"/>
    </row>
    <row r="1221" spans="13:19" ht="16.5" customHeight="1" x14ac:dyDescent="0.2">
      <c r="M1221" s="29"/>
      <c r="N1221" s="29"/>
      <c r="O1221" s="29"/>
      <c r="P1221" s="29"/>
      <c r="Q1221" s="29"/>
      <c r="R1221" s="29"/>
      <c r="S1221" s="29"/>
    </row>
    <row r="1222" spans="13:19" ht="16.5" customHeight="1" x14ac:dyDescent="0.2">
      <c r="M1222" s="29"/>
      <c r="N1222" s="29"/>
      <c r="O1222" s="29"/>
      <c r="P1222" s="29"/>
      <c r="Q1222" s="29"/>
      <c r="R1222" s="29"/>
      <c r="S1222" s="29"/>
    </row>
    <row r="1223" spans="13:19" ht="16.5" customHeight="1" x14ac:dyDescent="0.2">
      <c r="M1223" s="29"/>
      <c r="N1223" s="29"/>
      <c r="O1223" s="29"/>
      <c r="P1223" s="29"/>
      <c r="Q1223" s="29"/>
      <c r="R1223" s="29"/>
      <c r="S1223" s="29"/>
    </row>
    <row r="1224" spans="13:19" ht="16.5" customHeight="1" x14ac:dyDescent="0.2">
      <c r="M1224" s="29"/>
      <c r="N1224" s="29"/>
      <c r="O1224" s="29"/>
      <c r="P1224" s="29"/>
      <c r="Q1224" s="29"/>
      <c r="R1224" s="29"/>
      <c r="S1224" s="29"/>
    </row>
    <row r="1225" spans="13:19" ht="16.5" customHeight="1" x14ac:dyDescent="0.2">
      <c r="M1225" s="29"/>
      <c r="N1225" s="29"/>
      <c r="O1225" s="29"/>
      <c r="P1225" s="29"/>
      <c r="Q1225" s="29"/>
      <c r="R1225" s="29"/>
      <c r="S1225" s="29"/>
    </row>
    <row r="1226" spans="13:19" ht="16.5" customHeight="1" x14ac:dyDescent="0.2">
      <c r="M1226" s="29"/>
      <c r="N1226" s="29"/>
      <c r="O1226" s="29"/>
      <c r="P1226" s="29"/>
      <c r="Q1226" s="29"/>
      <c r="R1226" s="29"/>
      <c r="S1226" s="29"/>
    </row>
    <row r="1227" spans="13:19" ht="16.5" customHeight="1" x14ac:dyDescent="0.2">
      <c r="M1227" s="29"/>
      <c r="N1227" s="29"/>
      <c r="O1227" s="29"/>
      <c r="P1227" s="29"/>
      <c r="Q1227" s="29"/>
      <c r="R1227" s="29"/>
      <c r="S1227" s="29"/>
    </row>
    <row r="1228" spans="13:19" ht="16.5" customHeight="1" x14ac:dyDescent="0.2">
      <c r="M1228" s="29"/>
      <c r="N1228" s="29"/>
      <c r="O1228" s="29"/>
      <c r="P1228" s="29"/>
      <c r="Q1228" s="29"/>
      <c r="R1228" s="29"/>
      <c r="S1228" s="29"/>
    </row>
    <row r="1229" spans="13:19" ht="16.5" customHeight="1" x14ac:dyDescent="0.2">
      <c r="M1229" s="29"/>
      <c r="N1229" s="29"/>
      <c r="O1229" s="29"/>
      <c r="P1229" s="29"/>
      <c r="Q1229" s="29"/>
      <c r="R1229" s="29"/>
      <c r="S1229" s="29"/>
    </row>
    <row r="1230" spans="13:19" ht="16.5" customHeight="1" x14ac:dyDescent="0.2">
      <c r="M1230" s="29"/>
      <c r="N1230" s="29"/>
      <c r="O1230" s="29"/>
      <c r="P1230" s="29"/>
      <c r="Q1230" s="29"/>
      <c r="R1230" s="29"/>
      <c r="S1230" s="29"/>
    </row>
    <row r="1231" spans="13:19" ht="16.5" customHeight="1" x14ac:dyDescent="0.2">
      <c r="M1231" s="29"/>
      <c r="N1231" s="29"/>
      <c r="O1231" s="29"/>
      <c r="P1231" s="29"/>
      <c r="Q1231" s="29"/>
      <c r="R1231" s="29"/>
      <c r="S1231" s="29"/>
    </row>
    <row r="1232" spans="13:19" ht="16.5" customHeight="1" x14ac:dyDescent="0.2">
      <c r="M1232" s="29"/>
      <c r="N1232" s="29"/>
      <c r="O1232" s="29"/>
      <c r="P1232" s="29"/>
      <c r="Q1232" s="29"/>
      <c r="R1232" s="29"/>
      <c r="S1232" s="29"/>
    </row>
    <row r="1233" spans="13:19" ht="16.5" customHeight="1" x14ac:dyDescent="0.2">
      <c r="M1233" s="29"/>
      <c r="N1233" s="29"/>
      <c r="O1233" s="29"/>
      <c r="P1233" s="29"/>
      <c r="Q1233" s="29"/>
      <c r="R1233" s="29"/>
      <c r="S1233" s="29"/>
    </row>
    <row r="1234" spans="13:19" ht="16.5" customHeight="1" x14ac:dyDescent="0.2">
      <c r="M1234" s="29"/>
      <c r="N1234" s="29"/>
      <c r="O1234" s="29"/>
      <c r="P1234" s="29"/>
      <c r="Q1234" s="29"/>
      <c r="R1234" s="29"/>
      <c r="S1234" s="29"/>
    </row>
    <row r="1235" spans="13:19" ht="16.5" customHeight="1" x14ac:dyDescent="0.2">
      <c r="M1235" s="29"/>
      <c r="N1235" s="29"/>
      <c r="O1235" s="29"/>
      <c r="P1235" s="29"/>
      <c r="Q1235" s="29"/>
      <c r="R1235" s="29"/>
      <c r="S1235" s="29"/>
    </row>
    <row r="1236" spans="13:19" ht="16.5" customHeight="1" x14ac:dyDescent="0.2">
      <c r="M1236" s="29"/>
      <c r="N1236" s="29"/>
      <c r="O1236" s="29"/>
      <c r="P1236" s="29"/>
      <c r="Q1236" s="29"/>
      <c r="R1236" s="29"/>
      <c r="S1236" s="29"/>
    </row>
    <row r="1237" spans="13:19" ht="16.5" customHeight="1" x14ac:dyDescent="0.2">
      <c r="M1237" s="29"/>
      <c r="N1237" s="29"/>
      <c r="O1237" s="29"/>
      <c r="P1237" s="29"/>
      <c r="Q1237" s="29"/>
      <c r="R1237" s="29"/>
      <c r="S1237" s="29"/>
    </row>
    <row r="1238" spans="13:19" ht="16.5" customHeight="1" x14ac:dyDescent="0.2">
      <c r="M1238" s="29"/>
      <c r="N1238" s="29"/>
      <c r="O1238" s="29"/>
      <c r="P1238" s="29"/>
      <c r="Q1238" s="29"/>
      <c r="R1238" s="29"/>
      <c r="S1238" s="29"/>
    </row>
    <row r="1239" spans="13:19" ht="16.5" customHeight="1" x14ac:dyDescent="0.2">
      <c r="M1239" s="29"/>
      <c r="N1239" s="29"/>
      <c r="O1239" s="29"/>
      <c r="P1239" s="29"/>
      <c r="Q1239" s="29"/>
      <c r="R1239" s="29"/>
      <c r="S1239" s="29"/>
    </row>
    <row r="1240" spans="13:19" ht="16.5" customHeight="1" x14ac:dyDescent="0.2">
      <c r="M1240" s="29"/>
      <c r="N1240" s="29"/>
      <c r="O1240" s="29"/>
      <c r="P1240" s="29"/>
      <c r="Q1240" s="29"/>
      <c r="R1240" s="29"/>
      <c r="S1240" s="29"/>
    </row>
    <row r="1241" spans="13:19" ht="16.5" customHeight="1" x14ac:dyDescent="0.2">
      <c r="M1241" s="29"/>
      <c r="N1241" s="29"/>
      <c r="O1241" s="29"/>
      <c r="P1241" s="29"/>
      <c r="Q1241" s="29"/>
      <c r="R1241" s="29"/>
      <c r="S1241" s="29"/>
    </row>
    <row r="1242" spans="13:19" ht="16.5" customHeight="1" x14ac:dyDescent="0.2">
      <c r="M1242" s="29"/>
      <c r="N1242" s="29"/>
      <c r="O1242" s="29"/>
      <c r="P1242" s="29"/>
      <c r="Q1242" s="29"/>
      <c r="R1242" s="29"/>
      <c r="S1242" s="29"/>
    </row>
    <row r="1243" spans="13:19" ht="16.5" customHeight="1" x14ac:dyDescent="0.2">
      <c r="M1243" s="29"/>
      <c r="N1243" s="29"/>
      <c r="O1243" s="29"/>
      <c r="P1243" s="29"/>
      <c r="Q1243" s="29"/>
      <c r="R1243" s="29"/>
      <c r="S1243" s="29"/>
    </row>
    <row r="1244" spans="13:19" ht="16.5" customHeight="1" x14ac:dyDescent="0.2">
      <c r="M1244" s="29"/>
      <c r="N1244" s="29"/>
      <c r="O1244" s="29"/>
      <c r="P1244" s="29"/>
      <c r="Q1244" s="29"/>
      <c r="R1244" s="29"/>
      <c r="S1244" s="29"/>
    </row>
    <row r="1245" spans="13:19" ht="16.5" customHeight="1" x14ac:dyDescent="0.2">
      <c r="M1245" s="29"/>
      <c r="N1245" s="29"/>
      <c r="O1245" s="29"/>
      <c r="P1245" s="29"/>
      <c r="Q1245" s="29"/>
      <c r="R1245" s="29"/>
      <c r="S1245" s="29"/>
    </row>
    <row r="1246" spans="13:19" ht="16.5" customHeight="1" x14ac:dyDescent="0.2">
      <c r="M1246" s="29"/>
      <c r="N1246" s="29"/>
      <c r="O1246" s="29"/>
      <c r="P1246" s="29"/>
      <c r="Q1246" s="29"/>
      <c r="R1246" s="29"/>
      <c r="S1246" s="29"/>
    </row>
    <row r="1247" spans="13:19" ht="16.5" customHeight="1" x14ac:dyDescent="0.2">
      <c r="M1247" s="29"/>
      <c r="N1247" s="29"/>
      <c r="O1247" s="29"/>
      <c r="P1247" s="29"/>
      <c r="Q1247" s="29"/>
      <c r="R1247" s="29"/>
      <c r="S1247" s="29"/>
    </row>
    <row r="1248" spans="13:19" ht="16.5" customHeight="1" x14ac:dyDescent="0.2">
      <c r="M1248" s="29"/>
      <c r="N1248" s="29"/>
      <c r="O1248" s="29"/>
      <c r="P1248" s="29"/>
      <c r="Q1248" s="29"/>
      <c r="R1248" s="29"/>
      <c r="S1248" s="29"/>
    </row>
    <row r="1249" spans="13:19" ht="16.5" customHeight="1" x14ac:dyDescent="0.2">
      <c r="M1249" s="29"/>
      <c r="N1249" s="29"/>
      <c r="O1249" s="29"/>
      <c r="P1249" s="29"/>
      <c r="Q1249" s="29"/>
      <c r="R1249" s="29"/>
      <c r="S1249" s="29"/>
    </row>
    <row r="1250" spans="13:19" ht="16.5" customHeight="1" x14ac:dyDescent="0.2">
      <c r="M1250" s="29"/>
      <c r="N1250" s="29"/>
      <c r="O1250" s="29"/>
      <c r="P1250" s="29"/>
      <c r="Q1250" s="29"/>
      <c r="R1250" s="29"/>
      <c r="S1250" s="29"/>
    </row>
    <row r="1251" spans="13:19" ht="16.5" customHeight="1" x14ac:dyDescent="0.2">
      <c r="M1251" s="29"/>
      <c r="N1251" s="29"/>
      <c r="O1251" s="29"/>
      <c r="P1251" s="29"/>
      <c r="Q1251" s="29"/>
      <c r="R1251" s="29"/>
      <c r="S1251" s="29"/>
    </row>
    <row r="1252" spans="13:19" ht="16.5" customHeight="1" x14ac:dyDescent="0.2">
      <c r="M1252" s="29"/>
      <c r="N1252" s="29"/>
      <c r="O1252" s="29"/>
      <c r="P1252" s="29"/>
      <c r="Q1252" s="29"/>
      <c r="R1252" s="29"/>
      <c r="S1252" s="29"/>
    </row>
    <row r="1253" spans="13:19" ht="16.5" customHeight="1" x14ac:dyDescent="0.2">
      <c r="M1253" s="29"/>
      <c r="N1253" s="29"/>
      <c r="O1253" s="29"/>
      <c r="P1253" s="29"/>
      <c r="Q1253" s="29"/>
      <c r="R1253" s="29"/>
      <c r="S1253" s="29"/>
    </row>
    <row r="1254" spans="13:19" ht="16.5" customHeight="1" x14ac:dyDescent="0.2">
      <c r="M1254" s="29"/>
      <c r="N1254" s="29"/>
      <c r="O1254" s="29"/>
      <c r="P1254" s="29"/>
      <c r="Q1254" s="29"/>
      <c r="R1254" s="29"/>
      <c r="S1254" s="29"/>
    </row>
    <row r="1255" spans="13:19" ht="16.5" customHeight="1" x14ac:dyDescent="0.2">
      <c r="M1255" s="29"/>
      <c r="N1255" s="29"/>
      <c r="O1255" s="29"/>
      <c r="P1255" s="29"/>
      <c r="Q1255" s="29"/>
      <c r="R1255" s="29"/>
      <c r="S1255" s="29"/>
    </row>
    <row r="1256" spans="13:19" ht="16.5" customHeight="1" x14ac:dyDescent="0.2">
      <c r="M1256" s="29"/>
      <c r="N1256" s="29"/>
      <c r="O1256" s="29"/>
      <c r="P1256" s="29"/>
      <c r="Q1256" s="29"/>
      <c r="R1256" s="29"/>
      <c r="S1256" s="29"/>
    </row>
    <row r="1257" spans="13:19" ht="16.5" customHeight="1" x14ac:dyDescent="0.2">
      <c r="M1257" s="29"/>
      <c r="N1257" s="29"/>
      <c r="O1257" s="29"/>
      <c r="P1257" s="29"/>
      <c r="Q1257" s="29"/>
      <c r="R1257" s="29"/>
      <c r="S1257" s="29"/>
    </row>
    <row r="1258" spans="13:19" ht="16.5" customHeight="1" x14ac:dyDescent="0.2">
      <c r="M1258" s="29"/>
      <c r="N1258" s="29"/>
      <c r="O1258" s="29"/>
      <c r="P1258" s="29"/>
      <c r="Q1258" s="29"/>
      <c r="R1258" s="29"/>
      <c r="S1258" s="29"/>
    </row>
    <row r="1259" spans="13:19" ht="16.5" customHeight="1" x14ac:dyDescent="0.2">
      <c r="M1259" s="29"/>
      <c r="N1259" s="29"/>
      <c r="O1259" s="29"/>
      <c r="P1259" s="29"/>
      <c r="Q1259" s="29"/>
      <c r="R1259" s="29"/>
      <c r="S1259" s="29"/>
    </row>
    <row r="1260" spans="13:19" ht="16.5" customHeight="1" x14ac:dyDescent="0.2">
      <c r="M1260" s="29"/>
      <c r="N1260" s="29"/>
      <c r="O1260" s="29"/>
      <c r="P1260" s="29"/>
      <c r="Q1260" s="29"/>
      <c r="R1260" s="29"/>
      <c r="S1260" s="29"/>
    </row>
    <row r="1261" spans="13:19" ht="16.5" customHeight="1" x14ac:dyDescent="0.2">
      <c r="M1261" s="29"/>
      <c r="N1261" s="29"/>
      <c r="O1261" s="29"/>
      <c r="P1261" s="29"/>
      <c r="Q1261" s="29"/>
      <c r="R1261" s="29"/>
      <c r="S1261" s="29"/>
    </row>
    <row r="1262" spans="13:19" ht="16.5" customHeight="1" x14ac:dyDescent="0.2">
      <c r="M1262" s="29"/>
      <c r="N1262" s="29"/>
      <c r="O1262" s="29"/>
      <c r="P1262" s="29"/>
      <c r="Q1262" s="29"/>
      <c r="R1262" s="29"/>
      <c r="S1262" s="29"/>
    </row>
    <row r="1263" spans="13:19" ht="16.5" customHeight="1" x14ac:dyDescent="0.2">
      <c r="M1263" s="29"/>
      <c r="N1263" s="29"/>
      <c r="O1263" s="29"/>
      <c r="P1263" s="29"/>
      <c r="Q1263" s="29"/>
      <c r="R1263" s="29"/>
      <c r="S1263" s="29"/>
    </row>
    <row r="1264" spans="13:19" ht="16.5" customHeight="1" x14ac:dyDescent="0.2">
      <c r="M1264" s="29"/>
      <c r="N1264" s="29"/>
      <c r="O1264" s="29"/>
      <c r="P1264" s="29"/>
      <c r="Q1264" s="29"/>
      <c r="R1264" s="29"/>
      <c r="S1264" s="29"/>
    </row>
    <row r="1265" spans="13:19" ht="16.5" customHeight="1" x14ac:dyDescent="0.2">
      <c r="M1265" s="29"/>
      <c r="N1265" s="29"/>
      <c r="O1265" s="29"/>
      <c r="P1265" s="29"/>
      <c r="Q1265" s="29"/>
      <c r="R1265" s="29"/>
      <c r="S1265" s="29"/>
    </row>
    <row r="1266" spans="13:19" ht="16.5" customHeight="1" x14ac:dyDescent="0.2">
      <c r="M1266" s="29"/>
      <c r="N1266" s="29"/>
      <c r="O1266" s="29"/>
      <c r="P1266" s="29"/>
      <c r="Q1266" s="29"/>
      <c r="R1266" s="29"/>
      <c r="S1266" s="29"/>
    </row>
    <row r="1267" spans="13:19" ht="16.5" customHeight="1" x14ac:dyDescent="0.2">
      <c r="M1267" s="29"/>
      <c r="N1267" s="29"/>
      <c r="O1267" s="29"/>
      <c r="P1267" s="29"/>
      <c r="Q1267" s="29"/>
      <c r="R1267" s="29"/>
      <c r="S1267" s="29"/>
    </row>
    <row r="1268" spans="13:19" ht="16.5" customHeight="1" x14ac:dyDescent="0.2">
      <c r="M1268" s="29"/>
      <c r="N1268" s="29"/>
      <c r="O1268" s="29"/>
      <c r="P1268" s="29"/>
      <c r="Q1268" s="29"/>
      <c r="R1268" s="29"/>
      <c r="S1268" s="29"/>
    </row>
    <row r="1269" spans="13:19" ht="16.5" customHeight="1" x14ac:dyDescent="0.2">
      <c r="M1269" s="29"/>
      <c r="N1269" s="29"/>
      <c r="O1269" s="29"/>
      <c r="P1269" s="29"/>
      <c r="Q1269" s="29"/>
      <c r="R1269" s="29"/>
      <c r="S1269" s="29"/>
    </row>
    <row r="1270" spans="13:19" ht="16.5" customHeight="1" x14ac:dyDescent="0.2">
      <c r="M1270" s="29"/>
      <c r="N1270" s="29"/>
      <c r="O1270" s="29"/>
      <c r="P1270" s="29"/>
      <c r="Q1270" s="29"/>
      <c r="R1270" s="29"/>
      <c r="S1270" s="29"/>
    </row>
    <row r="1271" spans="13:19" ht="16.5" customHeight="1" x14ac:dyDescent="0.2">
      <c r="M1271" s="29"/>
      <c r="N1271" s="29"/>
      <c r="O1271" s="29"/>
      <c r="P1271" s="29"/>
      <c r="Q1271" s="29"/>
      <c r="R1271" s="29"/>
      <c r="S1271" s="29"/>
    </row>
    <row r="1272" spans="13:19" ht="16.5" customHeight="1" x14ac:dyDescent="0.2">
      <c r="M1272" s="29"/>
      <c r="N1272" s="29"/>
      <c r="O1272" s="29"/>
      <c r="P1272" s="29"/>
      <c r="Q1272" s="29"/>
      <c r="R1272" s="29"/>
      <c r="S1272" s="29"/>
    </row>
    <row r="1273" spans="13:19" ht="16.5" customHeight="1" x14ac:dyDescent="0.2">
      <c r="M1273" s="29"/>
      <c r="N1273" s="29"/>
      <c r="O1273" s="29"/>
      <c r="P1273" s="29"/>
      <c r="Q1273" s="29"/>
      <c r="R1273" s="29"/>
      <c r="S1273" s="29"/>
    </row>
    <row r="1274" spans="13:19" ht="16.5" customHeight="1" x14ac:dyDescent="0.2">
      <c r="M1274" s="29"/>
      <c r="N1274" s="29"/>
      <c r="O1274" s="29"/>
      <c r="P1274" s="29"/>
      <c r="Q1274" s="29"/>
      <c r="R1274" s="29"/>
      <c r="S1274" s="29"/>
    </row>
    <row r="1275" spans="13:19" ht="16.5" customHeight="1" x14ac:dyDescent="0.2">
      <c r="M1275" s="29"/>
      <c r="N1275" s="29"/>
      <c r="O1275" s="29"/>
      <c r="P1275" s="29"/>
      <c r="Q1275" s="29"/>
      <c r="R1275" s="29"/>
      <c r="S1275" s="29"/>
    </row>
    <row r="1276" spans="13:19" ht="16.5" customHeight="1" x14ac:dyDescent="0.2">
      <c r="M1276" s="29"/>
      <c r="N1276" s="29"/>
      <c r="O1276" s="29"/>
      <c r="P1276" s="29"/>
      <c r="Q1276" s="29"/>
      <c r="R1276" s="29"/>
      <c r="S1276" s="29"/>
    </row>
    <row r="1277" spans="13:19" ht="16.5" customHeight="1" x14ac:dyDescent="0.2">
      <c r="M1277" s="29"/>
      <c r="N1277" s="29"/>
      <c r="O1277" s="29"/>
      <c r="P1277" s="29"/>
      <c r="Q1277" s="29"/>
      <c r="R1277" s="29"/>
      <c r="S1277" s="29"/>
    </row>
    <row r="1278" spans="13:19" ht="16.5" customHeight="1" x14ac:dyDescent="0.2">
      <c r="M1278" s="29"/>
      <c r="N1278" s="29"/>
      <c r="O1278" s="29"/>
      <c r="P1278" s="29"/>
      <c r="Q1278" s="29"/>
      <c r="R1278" s="29"/>
      <c r="S1278" s="29"/>
    </row>
    <row r="1279" spans="13:19" ht="16.5" customHeight="1" x14ac:dyDescent="0.2">
      <c r="M1279" s="29"/>
      <c r="N1279" s="29"/>
      <c r="O1279" s="29"/>
      <c r="P1279" s="29"/>
      <c r="Q1279" s="29"/>
      <c r="R1279" s="29"/>
      <c r="S1279" s="29"/>
    </row>
    <row r="1280" spans="13:19" ht="16.5" customHeight="1" x14ac:dyDescent="0.2">
      <c r="M1280" s="29"/>
      <c r="N1280" s="29"/>
      <c r="O1280" s="29"/>
      <c r="P1280" s="29"/>
      <c r="Q1280" s="29"/>
      <c r="R1280" s="29"/>
      <c r="S1280" s="29"/>
    </row>
    <row r="1281" spans="13:19" ht="16.5" customHeight="1" x14ac:dyDescent="0.2">
      <c r="M1281" s="29"/>
      <c r="N1281" s="29"/>
      <c r="O1281" s="29"/>
      <c r="P1281" s="29"/>
      <c r="Q1281" s="29"/>
      <c r="R1281" s="29"/>
      <c r="S1281" s="29"/>
    </row>
    <row r="1282" spans="13:19" ht="16.5" customHeight="1" x14ac:dyDescent="0.2">
      <c r="M1282" s="29"/>
      <c r="N1282" s="29"/>
      <c r="O1282" s="29"/>
      <c r="P1282" s="29"/>
      <c r="Q1282" s="29"/>
      <c r="R1282" s="29"/>
      <c r="S1282" s="29"/>
    </row>
    <row r="1283" spans="13:19" ht="16.5" customHeight="1" x14ac:dyDescent="0.2">
      <c r="M1283" s="29"/>
      <c r="N1283" s="29"/>
      <c r="O1283" s="29"/>
      <c r="P1283" s="29"/>
      <c r="Q1283" s="29"/>
      <c r="R1283" s="29"/>
      <c r="S1283" s="29"/>
    </row>
    <row r="1284" spans="13:19" ht="16.5" customHeight="1" x14ac:dyDescent="0.2">
      <c r="M1284" s="29"/>
      <c r="N1284" s="29"/>
      <c r="O1284" s="29"/>
      <c r="P1284" s="29"/>
      <c r="Q1284" s="29"/>
      <c r="R1284" s="29"/>
      <c r="S1284" s="29"/>
    </row>
    <row r="1285" spans="13:19" ht="16.5" customHeight="1" x14ac:dyDescent="0.2">
      <c r="M1285" s="29"/>
      <c r="N1285" s="29"/>
      <c r="O1285" s="29"/>
      <c r="P1285" s="29"/>
      <c r="Q1285" s="29"/>
      <c r="R1285" s="29"/>
      <c r="S1285" s="29"/>
    </row>
    <row r="1286" spans="13:19" ht="16.5" customHeight="1" x14ac:dyDescent="0.2">
      <c r="M1286" s="29"/>
      <c r="N1286" s="29"/>
      <c r="O1286" s="29"/>
      <c r="P1286" s="29"/>
      <c r="Q1286" s="29"/>
      <c r="R1286" s="29"/>
      <c r="S1286" s="29"/>
    </row>
    <row r="1287" spans="13:19" ht="16.5" customHeight="1" x14ac:dyDescent="0.2">
      <c r="M1287" s="29"/>
      <c r="N1287" s="29"/>
      <c r="O1287" s="29"/>
      <c r="P1287" s="29"/>
      <c r="Q1287" s="29"/>
      <c r="R1287" s="29"/>
      <c r="S1287" s="29"/>
    </row>
    <row r="1288" spans="13:19" ht="16.5" customHeight="1" x14ac:dyDescent="0.2">
      <c r="M1288" s="29"/>
      <c r="N1288" s="29"/>
      <c r="O1288" s="29"/>
      <c r="P1288" s="29"/>
      <c r="Q1288" s="29"/>
      <c r="R1288" s="29"/>
      <c r="S1288" s="29"/>
    </row>
    <row r="1289" spans="13:19" ht="16.5" customHeight="1" x14ac:dyDescent="0.2">
      <c r="M1289" s="29"/>
      <c r="N1289" s="29"/>
      <c r="O1289" s="29"/>
      <c r="P1289" s="29"/>
      <c r="Q1289" s="29"/>
      <c r="R1289" s="29"/>
      <c r="S1289" s="29"/>
    </row>
    <row r="1290" spans="13:19" ht="16.5" customHeight="1" x14ac:dyDescent="0.2">
      <c r="M1290" s="29"/>
      <c r="N1290" s="29"/>
      <c r="O1290" s="29"/>
      <c r="P1290" s="29"/>
      <c r="Q1290" s="29"/>
      <c r="R1290" s="29"/>
      <c r="S1290" s="29"/>
    </row>
    <row r="1291" spans="13:19" ht="16.5" customHeight="1" x14ac:dyDescent="0.2">
      <c r="M1291" s="29"/>
      <c r="N1291" s="29"/>
      <c r="O1291" s="29"/>
      <c r="P1291" s="29"/>
      <c r="Q1291" s="29"/>
      <c r="R1291" s="29"/>
      <c r="S1291" s="29"/>
    </row>
    <row r="1292" spans="13:19" ht="16.5" customHeight="1" x14ac:dyDescent="0.2">
      <c r="M1292" s="29"/>
      <c r="N1292" s="29"/>
      <c r="O1292" s="29"/>
      <c r="P1292" s="29"/>
      <c r="Q1292" s="29"/>
      <c r="R1292" s="29"/>
      <c r="S1292" s="29"/>
    </row>
    <row r="1293" spans="13:19" ht="16.5" customHeight="1" x14ac:dyDescent="0.2">
      <c r="M1293" s="29"/>
      <c r="N1293" s="29"/>
      <c r="O1293" s="29"/>
      <c r="P1293" s="29"/>
      <c r="Q1293" s="29"/>
      <c r="R1293" s="29"/>
      <c r="S1293" s="29"/>
    </row>
    <row r="1294" spans="13:19" ht="16.5" customHeight="1" x14ac:dyDescent="0.2">
      <c r="M1294" s="29"/>
      <c r="N1294" s="29"/>
      <c r="O1294" s="29"/>
      <c r="P1294" s="29"/>
      <c r="Q1294" s="29"/>
      <c r="R1294" s="29"/>
      <c r="S1294" s="29"/>
    </row>
    <row r="1295" spans="13:19" ht="16.5" customHeight="1" x14ac:dyDescent="0.2">
      <c r="M1295" s="29"/>
      <c r="N1295" s="29"/>
      <c r="O1295" s="29"/>
      <c r="P1295" s="29"/>
      <c r="Q1295" s="29"/>
      <c r="R1295" s="29"/>
      <c r="S1295" s="29"/>
    </row>
    <row r="1296" spans="13:19" ht="16.5" customHeight="1" x14ac:dyDescent="0.2">
      <c r="M1296" s="29"/>
      <c r="N1296" s="29"/>
      <c r="O1296" s="29"/>
      <c r="P1296" s="29"/>
      <c r="Q1296" s="29"/>
      <c r="R1296" s="29"/>
      <c r="S1296" s="29"/>
    </row>
    <row r="1297" spans="13:19" ht="16.5" customHeight="1" x14ac:dyDescent="0.2">
      <c r="M1297" s="29"/>
      <c r="N1297" s="29"/>
      <c r="O1297" s="29"/>
      <c r="P1297" s="29"/>
      <c r="Q1297" s="29"/>
      <c r="R1297" s="29"/>
      <c r="S1297" s="29"/>
    </row>
    <row r="1298" spans="13:19" ht="16.5" customHeight="1" x14ac:dyDescent="0.2">
      <c r="M1298" s="29"/>
      <c r="N1298" s="29"/>
      <c r="O1298" s="29"/>
      <c r="P1298" s="29"/>
      <c r="Q1298" s="29"/>
      <c r="R1298" s="29"/>
      <c r="S1298" s="29"/>
    </row>
    <row r="1299" spans="13:19" ht="16.5" customHeight="1" x14ac:dyDescent="0.2">
      <c r="M1299" s="29"/>
      <c r="N1299" s="29"/>
      <c r="O1299" s="29"/>
      <c r="P1299" s="29"/>
      <c r="Q1299" s="29"/>
      <c r="R1299" s="29"/>
      <c r="S1299" s="29"/>
    </row>
    <row r="1300" spans="13:19" ht="16.5" customHeight="1" x14ac:dyDescent="0.2">
      <c r="M1300" s="29"/>
      <c r="N1300" s="29"/>
      <c r="O1300" s="29"/>
      <c r="P1300" s="29"/>
      <c r="Q1300" s="29"/>
      <c r="R1300" s="29"/>
      <c r="S1300" s="29"/>
    </row>
    <row r="1301" spans="13:19" ht="16.5" customHeight="1" x14ac:dyDescent="0.2">
      <c r="M1301" s="29"/>
      <c r="N1301" s="29"/>
      <c r="O1301" s="29"/>
      <c r="P1301" s="29"/>
      <c r="Q1301" s="29"/>
      <c r="R1301" s="29"/>
      <c r="S1301" s="29"/>
    </row>
    <row r="1302" spans="13:19" ht="16.5" customHeight="1" x14ac:dyDescent="0.2">
      <c r="M1302" s="29"/>
      <c r="N1302" s="29"/>
      <c r="O1302" s="29"/>
      <c r="P1302" s="29"/>
      <c r="Q1302" s="29"/>
      <c r="R1302" s="29"/>
      <c r="S1302" s="29"/>
    </row>
    <row r="1303" spans="13:19" ht="16.5" customHeight="1" x14ac:dyDescent="0.2">
      <c r="M1303" s="29"/>
      <c r="N1303" s="29"/>
      <c r="O1303" s="29"/>
      <c r="P1303" s="29"/>
      <c r="Q1303" s="29"/>
      <c r="R1303" s="29"/>
      <c r="S1303" s="29"/>
    </row>
    <row r="1304" spans="13:19" ht="16.5" customHeight="1" x14ac:dyDescent="0.2">
      <c r="M1304" s="29"/>
      <c r="N1304" s="29"/>
      <c r="O1304" s="29"/>
      <c r="P1304" s="29"/>
      <c r="Q1304" s="29"/>
      <c r="R1304" s="29"/>
      <c r="S1304" s="29"/>
    </row>
    <row r="1305" spans="13:19" ht="16.5" customHeight="1" x14ac:dyDescent="0.2">
      <c r="M1305" s="29"/>
      <c r="N1305" s="29"/>
      <c r="O1305" s="29"/>
      <c r="P1305" s="29"/>
      <c r="Q1305" s="29"/>
      <c r="R1305" s="29"/>
      <c r="S1305" s="29"/>
    </row>
    <row r="1306" spans="13:19" ht="16.5" customHeight="1" x14ac:dyDescent="0.2">
      <c r="M1306" s="29"/>
      <c r="N1306" s="29"/>
      <c r="O1306" s="29"/>
      <c r="P1306" s="29"/>
      <c r="Q1306" s="29"/>
      <c r="R1306" s="29"/>
      <c r="S1306" s="29"/>
    </row>
    <row r="1307" spans="13:19" ht="16.5" customHeight="1" x14ac:dyDescent="0.2">
      <c r="M1307" s="29"/>
      <c r="N1307" s="29"/>
      <c r="O1307" s="29"/>
      <c r="P1307" s="29"/>
      <c r="Q1307" s="29"/>
      <c r="R1307" s="29"/>
      <c r="S1307" s="29"/>
    </row>
    <row r="1308" spans="13:19" ht="16.5" customHeight="1" x14ac:dyDescent="0.2">
      <c r="M1308" s="29"/>
      <c r="N1308" s="29"/>
      <c r="O1308" s="29"/>
      <c r="P1308" s="29"/>
      <c r="Q1308" s="29"/>
      <c r="R1308" s="29"/>
      <c r="S1308" s="29"/>
    </row>
    <row r="1309" spans="13:19" ht="16.5" customHeight="1" x14ac:dyDescent="0.2">
      <c r="M1309" s="29"/>
      <c r="N1309" s="29"/>
      <c r="O1309" s="29"/>
      <c r="P1309" s="29"/>
      <c r="Q1309" s="29"/>
      <c r="R1309" s="29"/>
      <c r="S1309" s="29"/>
    </row>
    <row r="1310" spans="13:19" ht="16.5" customHeight="1" x14ac:dyDescent="0.2">
      <c r="M1310" s="29"/>
      <c r="N1310" s="29"/>
      <c r="O1310" s="29"/>
      <c r="P1310" s="29"/>
      <c r="Q1310" s="29"/>
      <c r="R1310" s="29"/>
      <c r="S1310" s="29"/>
    </row>
    <row r="1311" spans="13:19" ht="16.5" customHeight="1" x14ac:dyDescent="0.2">
      <c r="M1311" s="29"/>
      <c r="N1311" s="29"/>
      <c r="O1311" s="29"/>
      <c r="P1311" s="29"/>
      <c r="Q1311" s="29"/>
      <c r="R1311" s="29"/>
      <c r="S1311" s="29"/>
    </row>
    <row r="1312" spans="13:19" ht="16.5" customHeight="1" x14ac:dyDescent="0.2">
      <c r="M1312" s="29"/>
      <c r="N1312" s="29"/>
      <c r="O1312" s="29"/>
      <c r="P1312" s="29"/>
      <c r="Q1312" s="29"/>
      <c r="R1312" s="29"/>
      <c r="S1312" s="29"/>
    </row>
    <row r="1313" spans="13:19" ht="16.5" customHeight="1" x14ac:dyDescent="0.2">
      <c r="M1313" s="29"/>
      <c r="N1313" s="29"/>
      <c r="O1313" s="29"/>
      <c r="P1313" s="29"/>
      <c r="Q1313" s="29"/>
      <c r="R1313" s="29"/>
      <c r="S1313" s="29"/>
    </row>
    <row r="1314" spans="13:19" ht="16.5" customHeight="1" x14ac:dyDescent="0.2">
      <c r="M1314" s="29"/>
      <c r="N1314" s="29"/>
      <c r="O1314" s="29"/>
      <c r="P1314" s="29"/>
      <c r="Q1314" s="29"/>
      <c r="R1314" s="29"/>
      <c r="S1314" s="29"/>
    </row>
    <row r="1315" spans="13:19" ht="16.5" customHeight="1" x14ac:dyDescent="0.2">
      <c r="M1315" s="29"/>
      <c r="N1315" s="29"/>
      <c r="O1315" s="29"/>
      <c r="P1315" s="29"/>
      <c r="Q1315" s="29"/>
      <c r="R1315" s="29"/>
      <c r="S1315" s="29"/>
    </row>
    <row r="1316" spans="13:19" ht="16.5" customHeight="1" x14ac:dyDescent="0.2">
      <c r="M1316" s="29"/>
      <c r="N1316" s="29"/>
      <c r="O1316" s="29"/>
      <c r="P1316" s="29"/>
      <c r="Q1316" s="29"/>
      <c r="R1316" s="29"/>
      <c r="S1316" s="29"/>
    </row>
    <row r="1317" spans="13:19" ht="16.5" customHeight="1" x14ac:dyDescent="0.2">
      <c r="M1317" s="29"/>
      <c r="N1317" s="29"/>
      <c r="O1317" s="29"/>
      <c r="P1317" s="29"/>
      <c r="Q1317" s="29"/>
      <c r="R1317" s="29"/>
      <c r="S1317" s="29"/>
    </row>
    <row r="1318" spans="13:19" ht="16.5" customHeight="1" x14ac:dyDescent="0.2">
      <c r="M1318" s="29"/>
      <c r="N1318" s="29"/>
      <c r="O1318" s="29"/>
      <c r="P1318" s="29"/>
      <c r="Q1318" s="29"/>
      <c r="R1318" s="29"/>
      <c r="S1318" s="29"/>
    </row>
    <row r="1319" spans="13:19" ht="16.5" customHeight="1" x14ac:dyDescent="0.2">
      <c r="M1319" s="29"/>
      <c r="N1319" s="29"/>
      <c r="O1319" s="29"/>
      <c r="P1319" s="29"/>
      <c r="Q1319" s="29"/>
      <c r="R1319" s="29"/>
      <c r="S1319" s="29"/>
    </row>
    <row r="1320" spans="13:19" ht="16.5" customHeight="1" x14ac:dyDescent="0.2">
      <c r="M1320" s="29"/>
      <c r="N1320" s="29"/>
      <c r="O1320" s="29"/>
      <c r="P1320" s="29"/>
      <c r="Q1320" s="29"/>
      <c r="R1320" s="29"/>
      <c r="S1320" s="29"/>
    </row>
    <row r="1321" spans="13:19" ht="16.5" customHeight="1" x14ac:dyDescent="0.2">
      <c r="M1321" s="29"/>
      <c r="N1321" s="29"/>
      <c r="O1321" s="29"/>
      <c r="P1321" s="29"/>
      <c r="Q1321" s="29"/>
      <c r="R1321" s="29"/>
      <c r="S1321" s="29"/>
    </row>
    <row r="1322" spans="13:19" ht="16.5" customHeight="1" x14ac:dyDescent="0.2">
      <c r="M1322" s="29"/>
      <c r="N1322" s="29"/>
      <c r="O1322" s="29"/>
      <c r="P1322" s="29"/>
      <c r="Q1322" s="29"/>
      <c r="R1322" s="29"/>
      <c r="S1322" s="29"/>
    </row>
    <row r="1323" spans="13:19" ht="16.5" customHeight="1" x14ac:dyDescent="0.2">
      <c r="M1323" s="29"/>
      <c r="N1323" s="29"/>
      <c r="O1323" s="29"/>
      <c r="P1323" s="29"/>
      <c r="Q1323" s="29"/>
      <c r="R1323" s="29"/>
      <c r="S1323" s="29"/>
    </row>
    <row r="1324" spans="13:19" ht="16.5" customHeight="1" x14ac:dyDescent="0.2">
      <c r="M1324" s="29"/>
      <c r="N1324" s="29"/>
      <c r="O1324" s="29"/>
      <c r="P1324" s="29"/>
      <c r="Q1324" s="29"/>
      <c r="R1324" s="29"/>
      <c r="S1324" s="29"/>
    </row>
    <row r="1325" spans="13:19" ht="16.5" customHeight="1" x14ac:dyDescent="0.2">
      <c r="M1325" s="29"/>
      <c r="N1325" s="29"/>
      <c r="O1325" s="29"/>
      <c r="P1325" s="29"/>
      <c r="Q1325" s="29"/>
      <c r="R1325" s="29"/>
      <c r="S1325" s="29"/>
    </row>
    <row r="1326" spans="13:19" ht="16.5" customHeight="1" x14ac:dyDescent="0.2">
      <c r="M1326" s="29"/>
      <c r="N1326" s="29"/>
      <c r="O1326" s="29"/>
      <c r="P1326" s="29"/>
      <c r="Q1326" s="29"/>
      <c r="R1326" s="29"/>
      <c r="S1326" s="29"/>
    </row>
    <row r="1327" spans="13:19" ht="16.5" customHeight="1" x14ac:dyDescent="0.2">
      <c r="M1327" s="29"/>
      <c r="N1327" s="29"/>
      <c r="O1327" s="29"/>
      <c r="P1327" s="29"/>
      <c r="Q1327" s="29"/>
      <c r="R1327" s="29"/>
      <c r="S1327" s="29"/>
    </row>
    <row r="1328" spans="13:19" ht="16.5" customHeight="1" x14ac:dyDescent="0.2">
      <c r="M1328" s="29"/>
      <c r="N1328" s="29"/>
      <c r="O1328" s="29"/>
      <c r="P1328" s="29"/>
      <c r="Q1328" s="29"/>
      <c r="R1328" s="29"/>
      <c r="S1328" s="29"/>
    </row>
    <row r="1329" spans="13:19" ht="16.5" customHeight="1" x14ac:dyDescent="0.2">
      <c r="M1329" s="29"/>
      <c r="N1329" s="29"/>
      <c r="O1329" s="29"/>
      <c r="P1329" s="29"/>
      <c r="Q1329" s="29"/>
      <c r="R1329" s="29"/>
      <c r="S1329" s="29"/>
    </row>
    <row r="1330" spans="13:19" ht="16.5" customHeight="1" x14ac:dyDescent="0.2">
      <c r="M1330" s="29"/>
      <c r="N1330" s="29"/>
      <c r="O1330" s="29"/>
      <c r="P1330" s="29"/>
      <c r="Q1330" s="29"/>
      <c r="R1330" s="29"/>
      <c r="S1330" s="29"/>
    </row>
    <row r="1331" spans="13:19" ht="16.5" customHeight="1" x14ac:dyDescent="0.2">
      <c r="M1331" s="29"/>
      <c r="N1331" s="29"/>
      <c r="O1331" s="29"/>
      <c r="P1331" s="29"/>
      <c r="Q1331" s="29"/>
      <c r="R1331" s="29"/>
      <c r="S1331" s="29"/>
    </row>
    <row r="1332" spans="13:19" ht="16.5" customHeight="1" x14ac:dyDescent="0.2">
      <c r="M1332" s="29"/>
      <c r="N1332" s="29"/>
      <c r="O1332" s="29"/>
      <c r="P1332" s="29"/>
      <c r="Q1332" s="29"/>
      <c r="R1332" s="29"/>
      <c r="S1332" s="29"/>
    </row>
    <row r="1333" spans="13:19" ht="16.5" customHeight="1" x14ac:dyDescent="0.2">
      <c r="M1333" s="29"/>
      <c r="N1333" s="29"/>
      <c r="O1333" s="29"/>
      <c r="P1333" s="29"/>
      <c r="Q1333" s="29"/>
      <c r="R1333" s="29"/>
      <c r="S1333" s="29"/>
    </row>
    <row r="1334" spans="13:19" ht="16.5" customHeight="1" x14ac:dyDescent="0.2">
      <c r="M1334" s="29"/>
      <c r="N1334" s="29"/>
      <c r="O1334" s="29"/>
      <c r="P1334" s="29"/>
      <c r="Q1334" s="29"/>
      <c r="R1334" s="29"/>
      <c r="S1334" s="29"/>
    </row>
    <row r="1335" spans="13:19" ht="16.5" customHeight="1" x14ac:dyDescent="0.2">
      <c r="M1335" s="29"/>
      <c r="N1335" s="29"/>
      <c r="O1335" s="29"/>
      <c r="P1335" s="29"/>
      <c r="Q1335" s="29"/>
      <c r="R1335" s="29"/>
      <c r="S1335" s="29"/>
    </row>
    <row r="1336" spans="13:19" ht="16.5" customHeight="1" x14ac:dyDescent="0.2">
      <c r="M1336" s="29"/>
      <c r="N1336" s="29"/>
      <c r="O1336" s="29"/>
      <c r="P1336" s="29"/>
      <c r="Q1336" s="29"/>
      <c r="R1336" s="29"/>
      <c r="S1336" s="29"/>
    </row>
    <row r="1337" spans="13:19" ht="16.5" customHeight="1" x14ac:dyDescent="0.2">
      <c r="M1337" s="29"/>
      <c r="N1337" s="29"/>
      <c r="O1337" s="29"/>
      <c r="P1337" s="29"/>
      <c r="Q1337" s="29"/>
      <c r="R1337" s="29"/>
      <c r="S1337" s="29"/>
    </row>
    <row r="1338" spans="13:19" ht="16.5" customHeight="1" x14ac:dyDescent="0.2">
      <c r="M1338" s="29"/>
      <c r="N1338" s="29"/>
      <c r="O1338" s="29"/>
      <c r="P1338" s="29"/>
      <c r="Q1338" s="29"/>
      <c r="R1338" s="29"/>
      <c r="S1338" s="29"/>
    </row>
    <row r="1339" spans="13:19" ht="16.5" customHeight="1" x14ac:dyDescent="0.2">
      <c r="M1339" s="29"/>
      <c r="N1339" s="29"/>
      <c r="O1339" s="29"/>
      <c r="P1339" s="29"/>
      <c r="Q1339" s="29"/>
      <c r="R1339" s="29"/>
      <c r="S1339" s="29"/>
    </row>
    <row r="1340" spans="13:19" ht="16.5" customHeight="1" x14ac:dyDescent="0.2">
      <c r="M1340" s="29"/>
      <c r="N1340" s="29"/>
      <c r="O1340" s="29"/>
      <c r="P1340" s="29"/>
      <c r="Q1340" s="29"/>
      <c r="R1340" s="29"/>
      <c r="S1340" s="29"/>
    </row>
    <row r="1341" spans="13:19" ht="16.5" customHeight="1" x14ac:dyDescent="0.2">
      <c r="M1341" s="29"/>
      <c r="N1341" s="29"/>
      <c r="O1341" s="29"/>
      <c r="P1341" s="29"/>
      <c r="Q1341" s="29"/>
      <c r="R1341" s="29"/>
      <c r="S1341" s="29"/>
    </row>
    <row r="1342" spans="13:19" ht="16.5" customHeight="1" x14ac:dyDescent="0.2">
      <c r="M1342" s="29"/>
      <c r="N1342" s="29"/>
      <c r="O1342" s="29"/>
      <c r="P1342" s="29"/>
      <c r="Q1342" s="29"/>
      <c r="R1342" s="29"/>
      <c r="S1342" s="29"/>
    </row>
    <row r="1343" spans="13:19" ht="16.5" customHeight="1" x14ac:dyDescent="0.2">
      <c r="M1343" s="29"/>
      <c r="N1343" s="29"/>
      <c r="O1343" s="29"/>
      <c r="P1343" s="29"/>
      <c r="Q1343" s="29"/>
      <c r="R1343" s="29"/>
      <c r="S1343" s="29"/>
    </row>
    <row r="1344" spans="13:19" ht="16.5" customHeight="1" x14ac:dyDescent="0.2">
      <c r="M1344" s="29"/>
      <c r="N1344" s="29"/>
      <c r="O1344" s="29"/>
      <c r="P1344" s="29"/>
      <c r="Q1344" s="29"/>
      <c r="R1344" s="29"/>
      <c r="S1344" s="29"/>
    </row>
    <row r="1345" spans="13:19" ht="16.5" customHeight="1" x14ac:dyDescent="0.2">
      <c r="M1345" s="29"/>
      <c r="N1345" s="29"/>
      <c r="O1345" s="29"/>
      <c r="P1345" s="29"/>
      <c r="Q1345" s="29"/>
      <c r="R1345" s="29"/>
      <c r="S1345" s="29"/>
    </row>
    <row r="1346" spans="13:19" ht="16.5" customHeight="1" x14ac:dyDescent="0.2">
      <c r="M1346" s="29"/>
      <c r="N1346" s="29"/>
      <c r="O1346" s="29"/>
      <c r="P1346" s="29"/>
      <c r="Q1346" s="29"/>
      <c r="R1346" s="29"/>
      <c r="S1346" s="29"/>
    </row>
    <row r="1347" spans="13:19" ht="16.5" customHeight="1" x14ac:dyDescent="0.2">
      <c r="M1347" s="29"/>
      <c r="N1347" s="29"/>
      <c r="O1347" s="29"/>
      <c r="P1347" s="29"/>
      <c r="Q1347" s="29"/>
      <c r="R1347" s="29"/>
      <c r="S1347" s="29"/>
    </row>
    <row r="1348" spans="13:19" ht="16.5" customHeight="1" x14ac:dyDescent="0.2">
      <c r="M1348" s="29"/>
      <c r="N1348" s="29"/>
      <c r="O1348" s="29"/>
      <c r="P1348" s="29"/>
      <c r="Q1348" s="29"/>
      <c r="R1348" s="29"/>
      <c r="S1348" s="29"/>
    </row>
    <row r="1349" spans="13:19" ht="16.5" customHeight="1" x14ac:dyDescent="0.2">
      <c r="M1349" s="29"/>
      <c r="N1349" s="29"/>
      <c r="O1349" s="29"/>
      <c r="P1349" s="29"/>
      <c r="Q1349" s="29"/>
      <c r="R1349" s="29"/>
      <c r="S1349" s="29"/>
    </row>
    <row r="1350" spans="13:19" ht="16.5" customHeight="1" x14ac:dyDescent="0.2">
      <c r="M1350" s="29"/>
      <c r="N1350" s="29"/>
      <c r="O1350" s="29"/>
      <c r="P1350" s="29"/>
      <c r="Q1350" s="29"/>
      <c r="R1350" s="29"/>
      <c r="S1350" s="29"/>
    </row>
    <row r="1351" spans="13:19" ht="16.5" customHeight="1" x14ac:dyDescent="0.2">
      <c r="M1351" s="29"/>
      <c r="N1351" s="29"/>
      <c r="O1351" s="29"/>
      <c r="P1351" s="29"/>
      <c r="Q1351" s="29"/>
      <c r="R1351" s="29"/>
      <c r="S1351" s="29"/>
    </row>
    <row r="1352" spans="13:19" ht="16.5" customHeight="1" x14ac:dyDescent="0.2">
      <c r="M1352" s="29"/>
      <c r="N1352" s="29"/>
      <c r="O1352" s="29"/>
      <c r="P1352" s="29"/>
      <c r="Q1352" s="29"/>
      <c r="R1352" s="29"/>
      <c r="S1352" s="29"/>
    </row>
    <row r="1353" spans="13:19" ht="16.5" customHeight="1" x14ac:dyDescent="0.2">
      <c r="M1353" s="29"/>
      <c r="N1353" s="29"/>
      <c r="O1353" s="29"/>
      <c r="P1353" s="29"/>
      <c r="Q1353" s="29"/>
      <c r="R1353" s="29"/>
      <c r="S1353" s="29"/>
    </row>
    <row r="1354" spans="13:19" ht="16.5" customHeight="1" x14ac:dyDescent="0.2">
      <c r="M1354" s="29"/>
      <c r="N1354" s="29"/>
      <c r="O1354" s="29"/>
      <c r="P1354" s="29"/>
      <c r="Q1354" s="29"/>
      <c r="R1354" s="29"/>
      <c r="S1354" s="29"/>
    </row>
    <row r="1355" spans="13:19" ht="16.5" customHeight="1" x14ac:dyDescent="0.2">
      <c r="M1355" s="29"/>
      <c r="N1355" s="29"/>
      <c r="O1355" s="29"/>
      <c r="P1355" s="29"/>
      <c r="Q1355" s="29"/>
      <c r="R1355" s="29"/>
      <c r="S1355" s="29"/>
    </row>
    <row r="1356" spans="13:19" ht="16.5" customHeight="1" x14ac:dyDescent="0.2">
      <c r="M1356" s="29"/>
      <c r="N1356" s="29"/>
      <c r="O1356" s="29"/>
      <c r="P1356" s="29"/>
      <c r="Q1356" s="29"/>
      <c r="R1356" s="29"/>
      <c r="S1356" s="29"/>
    </row>
    <row r="1357" spans="13:19" ht="16.5" customHeight="1" x14ac:dyDescent="0.2">
      <c r="M1357" s="29"/>
      <c r="N1357" s="29"/>
      <c r="O1357" s="29"/>
      <c r="P1357" s="29"/>
      <c r="Q1357" s="29"/>
      <c r="R1357" s="29"/>
      <c r="S1357" s="29"/>
    </row>
    <row r="1358" spans="13:19" ht="16.5" customHeight="1" x14ac:dyDescent="0.2">
      <c r="M1358" s="29"/>
      <c r="N1358" s="29"/>
      <c r="O1358" s="29"/>
      <c r="P1358" s="29"/>
      <c r="Q1358" s="29"/>
      <c r="R1358" s="29"/>
      <c r="S1358" s="29"/>
    </row>
    <row r="1359" spans="13:19" ht="16.5" customHeight="1" x14ac:dyDescent="0.2">
      <c r="M1359" s="29"/>
      <c r="N1359" s="29"/>
      <c r="O1359" s="29"/>
      <c r="P1359" s="29"/>
      <c r="Q1359" s="29"/>
      <c r="R1359" s="29"/>
      <c r="S1359" s="29"/>
    </row>
    <row r="1360" spans="13:19" ht="16.5" customHeight="1" x14ac:dyDescent="0.2">
      <c r="M1360" s="29"/>
      <c r="N1360" s="29"/>
      <c r="O1360" s="29"/>
      <c r="P1360" s="29"/>
      <c r="Q1360" s="29"/>
      <c r="R1360" s="29"/>
      <c r="S1360" s="29"/>
    </row>
    <row r="1361" spans="13:19" ht="16.5" customHeight="1" x14ac:dyDescent="0.2">
      <c r="M1361" s="29"/>
      <c r="N1361" s="29"/>
      <c r="O1361" s="29"/>
      <c r="P1361" s="29"/>
      <c r="Q1361" s="29"/>
      <c r="R1361" s="29"/>
      <c r="S1361" s="29"/>
    </row>
    <row r="1362" spans="13:19" ht="16.5" customHeight="1" x14ac:dyDescent="0.2">
      <c r="M1362" s="29"/>
      <c r="N1362" s="29"/>
      <c r="O1362" s="29"/>
      <c r="P1362" s="29"/>
      <c r="Q1362" s="29"/>
      <c r="R1362" s="29"/>
      <c r="S1362" s="29"/>
    </row>
    <row r="1363" spans="13:19" ht="16.5" customHeight="1" x14ac:dyDescent="0.2">
      <c r="M1363" s="29"/>
      <c r="N1363" s="29"/>
      <c r="O1363" s="29"/>
      <c r="P1363" s="29"/>
      <c r="Q1363" s="29"/>
      <c r="R1363" s="29"/>
      <c r="S1363" s="29"/>
    </row>
    <row r="1364" spans="13:19" ht="16.5" customHeight="1" x14ac:dyDescent="0.2">
      <c r="M1364" s="29"/>
      <c r="N1364" s="29"/>
      <c r="O1364" s="29"/>
      <c r="P1364" s="29"/>
      <c r="Q1364" s="29"/>
      <c r="R1364" s="29"/>
      <c r="S1364" s="29"/>
    </row>
    <row r="1365" spans="13:19" ht="16.5" customHeight="1" x14ac:dyDescent="0.2">
      <c r="M1365" s="29"/>
      <c r="N1365" s="29"/>
      <c r="O1365" s="29"/>
      <c r="P1365" s="29"/>
      <c r="Q1365" s="29"/>
      <c r="R1365" s="29"/>
      <c r="S1365" s="29"/>
    </row>
    <row r="1366" spans="13:19" ht="16.5" customHeight="1" x14ac:dyDescent="0.2">
      <c r="M1366" s="29"/>
      <c r="N1366" s="29"/>
      <c r="O1366" s="29"/>
      <c r="P1366" s="29"/>
      <c r="Q1366" s="29"/>
      <c r="R1366" s="29"/>
      <c r="S1366" s="29"/>
    </row>
    <row r="1367" spans="13:19" ht="16.5" customHeight="1" x14ac:dyDescent="0.2">
      <c r="M1367" s="29"/>
      <c r="N1367" s="29"/>
      <c r="O1367" s="29"/>
      <c r="P1367" s="29"/>
      <c r="Q1367" s="29"/>
      <c r="R1367" s="29"/>
      <c r="S1367" s="29"/>
    </row>
    <row r="1368" spans="13:19" ht="16.5" customHeight="1" x14ac:dyDescent="0.2">
      <c r="M1368" s="29"/>
      <c r="N1368" s="29"/>
      <c r="O1368" s="29"/>
      <c r="P1368" s="29"/>
      <c r="Q1368" s="29"/>
      <c r="R1368" s="29"/>
      <c r="S1368" s="29"/>
    </row>
    <row r="1369" spans="13:19" ht="16.5" customHeight="1" x14ac:dyDescent="0.2">
      <c r="M1369" s="29"/>
      <c r="N1369" s="29"/>
      <c r="O1369" s="29"/>
      <c r="P1369" s="29"/>
      <c r="Q1369" s="29"/>
      <c r="R1369" s="29"/>
      <c r="S1369" s="29"/>
    </row>
    <row r="1370" spans="13:19" ht="16.5" customHeight="1" x14ac:dyDescent="0.2">
      <c r="M1370" s="29"/>
      <c r="N1370" s="29"/>
      <c r="O1370" s="29"/>
      <c r="P1370" s="29"/>
      <c r="Q1370" s="29"/>
      <c r="R1370" s="29"/>
      <c r="S1370" s="29"/>
    </row>
    <row r="1371" spans="13:19" ht="16.5" customHeight="1" x14ac:dyDescent="0.2">
      <c r="M1371" s="29"/>
      <c r="N1371" s="29"/>
      <c r="O1371" s="29"/>
      <c r="P1371" s="29"/>
      <c r="Q1371" s="29"/>
      <c r="R1371" s="29"/>
      <c r="S1371" s="29"/>
    </row>
    <row r="1372" spans="13:19" ht="16.5" customHeight="1" x14ac:dyDescent="0.2">
      <c r="M1372" s="29"/>
      <c r="N1372" s="29"/>
      <c r="O1372" s="29"/>
      <c r="P1372" s="29"/>
      <c r="Q1372" s="29"/>
      <c r="R1372" s="29"/>
      <c r="S1372" s="29"/>
    </row>
    <row r="1373" spans="13:19" ht="16.5" customHeight="1" x14ac:dyDescent="0.2">
      <c r="M1373" s="29"/>
      <c r="N1373" s="29"/>
      <c r="O1373" s="29"/>
      <c r="P1373" s="29"/>
      <c r="Q1373" s="29"/>
      <c r="R1373" s="29"/>
      <c r="S1373" s="29"/>
    </row>
    <row r="1374" spans="13:19" ht="16.5" customHeight="1" x14ac:dyDescent="0.2">
      <c r="M1374" s="29"/>
      <c r="N1374" s="29"/>
      <c r="O1374" s="29"/>
      <c r="P1374" s="29"/>
      <c r="Q1374" s="29"/>
      <c r="R1374" s="29"/>
      <c r="S1374" s="29"/>
    </row>
    <row r="1375" spans="13:19" ht="16.5" customHeight="1" x14ac:dyDescent="0.2">
      <c r="M1375" s="29"/>
      <c r="N1375" s="29"/>
      <c r="O1375" s="29"/>
      <c r="P1375" s="29"/>
      <c r="Q1375" s="29"/>
      <c r="R1375" s="29"/>
      <c r="S1375" s="29"/>
    </row>
    <row r="1376" spans="13:19" ht="16.5" customHeight="1" x14ac:dyDescent="0.2">
      <c r="M1376" s="29"/>
      <c r="N1376" s="29"/>
      <c r="O1376" s="29"/>
      <c r="P1376" s="29"/>
      <c r="Q1376" s="29"/>
      <c r="R1376" s="29"/>
      <c r="S1376" s="29"/>
    </row>
    <row r="1377" spans="13:19" ht="16.5" customHeight="1" x14ac:dyDescent="0.2">
      <c r="M1377" s="29"/>
      <c r="N1377" s="29"/>
      <c r="O1377" s="29"/>
      <c r="P1377" s="29"/>
      <c r="Q1377" s="29"/>
      <c r="R1377" s="29"/>
      <c r="S1377" s="29"/>
    </row>
    <row r="1378" spans="13:19" ht="16.5" customHeight="1" x14ac:dyDescent="0.2">
      <c r="M1378" s="29"/>
      <c r="N1378" s="29"/>
      <c r="O1378" s="29"/>
      <c r="P1378" s="29"/>
      <c r="Q1378" s="29"/>
      <c r="R1378" s="29"/>
      <c r="S1378" s="29"/>
    </row>
    <row r="1379" spans="13:19" ht="16.5" customHeight="1" x14ac:dyDescent="0.2">
      <c r="M1379" s="29"/>
      <c r="N1379" s="29"/>
      <c r="O1379" s="29"/>
      <c r="P1379" s="29"/>
      <c r="Q1379" s="29"/>
      <c r="R1379" s="29"/>
      <c r="S1379" s="29"/>
    </row>
    <row r="1380" spans="13:19" ht="16.5" customHeight="1" x14ac:dyDescent="0.2">
      <c r="M1380" s="29"/>
      <c r="N1380" s="29"/>
      <c r="O1380" s="29"/>
      <c r="P1380" s="29"/>
      <c r="Q1380" s="29"/>
      <c r="R1380" s="29"/>
      <c r="S1380" s="29"/>
    </row>
    <row r="1381" spans="13:19" ht="16.5" customHeight="1" x14ac:dyDescent="0.2">
      <c r="M1381" s="29"/>
      <c r="N1381" s="29"/>
      <c r="O1381" s="29"/>
      <c r="P1381" s="29"/>
      <c r="Q1381" s="29"/>
      <c r="R1381" s="29"/>
      <c r="S1381" s="29"/>
    </row>
    <row r="1382" spans="13:19" ht="16.5" customHeight="1" x14ac:dyDescent="0.2">
      <c r="M1382" s="29"/>
      <c r="N1382" s="29"/>
      <c r="O1382" s="29"/>
      <c r="P1382" s="29"/>
      <c r="Q1382" s="29"/>
      <c r="R1382" s="29"/>
      <c r="S1382" s="29"/>
    </row>
    <row r="1383" spans="13:19" ht="16.5" customHeight="1" x14ac:dyDescent="0.2">
      <c r="M1383" s="29"/>
      <c r="N1383" s="29"/>
      <c r="O1383" s="29"/>
      <c r="P1383" s="29"/>
      <c r="Q1383" s="29"/>
      <c r="R1383" s="29"/>
      <c r="S1383" s="29"/>
    </row>
    <row r="1384" spans="13:19" ht="16.5" customHeight="1" x14ac:dyDescent="0.2">
      <c r="M1384" s="29"/>
      <c r="N1384" s="29"/>
      <c r="O1384" s="29"/>
      <c r="P1384" s="29"/>
      <c r="Q1384" s="29"/>
      <c r="R1384" s="29"/>
      <c r="S1384" s="29"/>
    </row>
    <row r="1385" spans="13:19" ht="16.5" customHeight="1" x14ac:dyDescent="0.2">
      <c r="M1385" s="29"/>
      <c r="N1385" s="29"/>
      <c r="O1385" s="29"/>
      <c r="P1385" s="29"/>
      <c r="Q1385" s="29"/>
      <c r="R1385" s="29"/>
      <c r="S1385" s="29"/>
    </row>
    <row r="1386" spans="13:19" ht="16.5" customHeight="1" x14ac:dyDescent="0.2">
      <c r="M1386" s="29"/>
      <c r="N1386" s="29"/>
      <c r="O1386" s="29"/>
      <c r="P1386" s="29"/>
      <c r="Q1386" s="29"/>
      <c r="R1386" s="29"/>
      <c r="S1386" s="29"/>
    </row>
    <row r="1387" spans="13:19" ht="16.5" customHeight="1" x14ac:dyDescent="0.2">
      <c r="M1387" s="29"/>
      <c r="N1387" s="29"/>
      <c r="O1387" s="29"/>
      <c r="P1387" s="29"/>
      <c r="Q1387" s="29"/>
      <c r="R1387" s="29"/>
      <c r="S1387" s="29"/>
    </row>
    <row r="1388" spans="13:19" ht="16.5" customHeight="1" x14ac:dyDescent="0.2">
      <c r="M1388" s="29"/>
      <c r="N1388" s="29"/>
      <c r="O1388" s="29"/>
      <c r="P1388" s="29"/>
      <c r="Q1388" s="29"/>
      <c r="R1388" s="29"/>
      <c r="S1388" s="29"/>
    </row>
    <row r="1389" spans="13:19" ht="16.5" customHeight="1" x14ac:dyDescent="0.2">
      <c r="M1389" s="29"/>
      <c r="N1389" s="29"/>
      <c r="O1389" s="29"/>
      <c r="P1389" s="29"/>
      <c r="Q1389" s="29"/>
      <c r="R1389" s="29"/>
      <c r="S1389" s="29"/>
    </row>
    <row r="1390" spans="13:19" ht="16.5" customHeight="1" x14ac:dyDescent="0.2">
      <c r="M1390" s="29"/>
      <c r="N1390" s="29"/>
      <c r="O1390" s="29"/>
      <c r="P1390" s="29"/>
      <c r="Q1390" s="29"/>
      <c r="R1390" s="29"/>
      <c r="S1390" s="29"/>
    </row>
    <row r="1391" spans="13:19" ht="16.5" customHeight="1" x14ac:dyDescent="0.2">
      <c r="M1391" s="29"/>
      <c r="N1391" s="29"/>
      <c r="O1391" s="29"/>
      <c r="P1391" s="29"/>
      <c r="Q1391" s="29"/>
      <c r="R1391" s="29"/>
      <c r="S1391" s="29"/>
    </row>
    <row r="1392" spans="13:19" ht="16.5" customHeight="1" x14ac:dyDescent="0.2">
      <c r="M1392" s="29"/>
      <c r="N1392" s="29"/>
      <c r="O1392" s="29"/>
      <c r="P1392" s="29"/>
      <c r="Q1392" s="29"/>
      <c r="R1392" s="29"/>
      <c r="S1392" s="29"/>
    </row>
    <row r="1393" spans="13:19" ht="16.5" customHeight="1" x14ac:dyDescent="0.2">
      <c r="M1393" s="29"/>
      <c r="N1393" s="29"/>
      <c r="O1393" s="29"/>
      <c r="P1393" s="29"/>
      <c r="Q1393" s="29"/>
      <c r="R1393" s="29"/>
      <c r="S1393" s="29"/>
    </row>
    <row r="1394" spans="13:19" ht="16.5" customHeight="1" x14ac:dyDescent="0.2">
      <c r="M1394" s="29"/>
      <c r="N1394" s="29"/>
      <c r="O1394" s="29"/>
      <c r="P1394" s="29"/>
      <c r="Q1394" s="29"/>
      <c r="R1394" s="29"/>
      <c r="S1394" s="29"/>
    </row>
    <row r="1395" spans="13:19" ht="16.5" customHeight="1" x14ac:dyDescent="0.2">
      <c r="M1395" s="29"/>
      <c r="N1395" s="29"/>
      <c r="O1395" s="29"/>
      <c r="P1395" s="29"/>
      <c r="Q1395" s="29"/>
      <c r="R1395" s="29"/>
      <c r="S1395" s="29"/>
    </row>
    <row r="1396" spans="13:19" ht="16.5" customHeight="1" x14ac:dyDescent="0.2">
      <c r="M1396" s="29"/>
      <c r="N1396" s="29"/>
      <c r="O1396" s="29"/>
      <c r="P1396" s="29"/>
      <c r="Q1396" s="29"/>
      <c r="R1396" s="29"/>
      <c r="S1396" s="29"/>
    </row>
    <row r="1397" spans="13:19" ht="16.5" customHeight="1" x14ac:dyDescent="0.2">
      <c r="M1397" s="29"/>
      <c r="N1397" s="29"/>
      <c r="O1397" s="29"/>
      <c r="P1397" s="29"/>
      <c r="Q1397" s="29"/>
      <c r="R1397" s="29"/>
      <c r="S1397" s="29"/>
    </row>
    <row r="1398" spans="13:19" ht="16.5" customHeight="1" x14ac:dyDescent="0.2">
      <c r="M1398" s="29"/>
      <c r="N1398" s="29"/>
      <c r="O1398" s="29"/>
      <c r="P1398" s="29"/>
      <c r="Q1398" s="29"/>
      <c r="R1398" s="29"/>
      <c r="S1398" s="29"/>
    </row>
    <row r="1399" spans="13:19" ht="16.5" customHeight="1" x14ac:dyDescent="0.2">
      <c r="M1399" s="29"/>
      <c r="N1399" s="29"/>
      <c r="O1399" s="29"/>
      <c r="P1399" s="29"/>
      <c r="Q1399" s="29"/>
      <c r="R1399" s="29"/>
      <c r="S1399" s="29"/>
    </row>
    <row r="1400" spans="13:19" ht="16.5" customHeight="1" x14ac:dyDescent="0.2">
      <c r="M1400" s="29"/>
      <c r="N1400" s="29"/>
      <c r="O1400" s="29"/>
      <c r="P1400" s="29"/>
      <c r="Q1400" s="29"/>
      <c r="R1400" s="29"/>
      <c r="S1400" s="29"/>
    </row>
    <row r="1401" spans="13:19" ht="16.5" customHeight="1" x14ac:dyDescent="0.2">
      <c r="M1401" s="29"/>
      <c r="N1401" s="29"/>
      <c r="O1401" s="29"/>
      <c r="P1401" s="29"/>
      <c r="Q1401" s="29"/>
      <c r="R1401" s="29"/>
      <c r="S1401" s="29"/>
    </row>
    <row r="1402" spans="13:19" ht="16.5" customHeight="1" x14ac:dyDescent="0.2">
      <c r="M1402" s="29"/>
      <c r="N1402" s="29"/>
      <c r="O1402" s="29"/>
      <c r="P1402" s="29"/>
      <c r="Q1402" s="29"/>
      <c r="R1402" s="29"/>
      <c r="S1402" s="29"/>
    </row>
    <row r="1403" spans="13:19" ht="16.5" customHeight="1" x14ac:dyDescent="0.2">
      <c r="M1403" s="29"/>
      <c r="N1403" s="29"/>
      <c r="O1403" s="29"/>
      <c r="P1403" s="29"/>
      <c r="Q1403" s="29"/>
      <c r="R1403" s="29"/>
      <c r="S1403" s="29"/>
    </row>
    <row r="1404" spans="13:19" ht="16.5" customHeight="1" x14ac:dyDescent="0.2">
      <c r="M1404" s="29"/>
      <c r="N1404" s="29"/>
      <c r="O1404" s="29"/>
      <c r="P1404" s="29"/>
      <c r="Q1404" s="29"/>
      <c r="R1404" s="29"/>
      <c r="S1404" s="29"/>
    </row>
    <row r="1405" spans="13:19" ht="16.5" customHeight="1" x14ac:dyDescent="0.2">
      <c r="M1405" s="29"/>
      <c r="N1405" s="29"/>
      <c r="O1405" s="29"/>
      <c r="P1405" s="29"/>
      <c r="Q1405" s="29"/>
      <c r="R1405" s="29"/>
      <c r="S1405" s="29"/>
    </row>
    <row r="1406" spans="13:19" ht="16.5" customHeight="1" x14ac:dyDescent="0.2">
      <c r="M1406" s="29"/>
      <c r="N1406" s="29"/>
      <c r="O1406" s="29"/>
      <c r="P1406" s="29"/>
      <c r="Q1406" s="29"/>
      <c r="R1406" s="29"/>
      <c r="S1406" s="29"/>
    </row>
    <row r="1407" spans="13:19" ht="16.5" customHeight="1" x14ac:dyDescent="0.2">
      <c r="M1407" s="29"/>
      <c r="N1407" s="29"/>
      <c r="O1407" s="29"/>
      <c r="P1407" s="29"/>
      <c r="Q1407" s="29"/>
      <c r="R1407" s="29"/>
      <c r="S1407" s="29"/>
    </row>
    <row r="1408" spans="13:19" ht="16.5" customHeight="1" x14ac:dyDescent="0.2">
      <c r="M1408" s="29"/>
      <c r="N1408" s="29"/>
      <c r="O1408" s="29"/>
      <c r="P1408" s="29"/>
      <c r="Q1408" s="29"/>
      <c r="R1408" s="29"/>
      <c r="S1408" s="29"/>
    </row>
    <row r="1409" spans="13:19" ht="16.5" customHeight="1" x14ac:dyDescent="0.2">
      <c r="M1409" s="29"/>
      <c r="N1409" s="29"/>
      <c r="O1409" s="29"/>
      <c r="P1409" s="29"/>
      <c r="Q1409" s="29"/>
      <c r="R1409" s="29"/>
      <c r="S1409" s="29"/>
    </row>
    <row r="1410" spans="13:19" ht="16.5" customHeight="1" x14ac:dyDescent="0.2">
      <c r="M1410" s="29"/>
      <c r="N1410" s="29"/>
      <c r="O1410" s="29"/>
      <c r="P1410" s="29"/>
      <c r="Q1410" s="29"/>
      <c r="R1410" s="29"/>
      <c r="S1410" s="29"/>
    </row>
    <row r="1411" spans="13:19" ht="16.5" customHeight="1" x14ac:dyDescent="0.2">
      <c r="M1411" s="29"/>
      <c r="N1411" s="29"/>
      <c r="O1411" s="29"/>
      <c r="P1411" s="29"/>
      <c r="Q1411" s="29"/>
      <c r="R1411" s="29"/>
      <c r="S1411" s="29"/>
    </row>
    <row r="1412" spans="13:19" ht="16.5" customHeight="1" x14ac:dyDescent="0.2">
      <c r="M1412" s="29"/>
      <c r="N1412" s="29"/>
      <c r="O1412" s="29"/>
      <c r="P1412" s="29"/>
      <c r="Q1412" s="29"/>
      <c r="R1412" s="29"/>
      <c r="S1412" s="29"/>
    </row>
    <row r="1413" spans="13:19" ht="16.5" customHeight="1" x14ac:dyDescent="0.2">
      <c r="M1413" s="29"/>
      <c r="N1413" s="29"/>
      <c r="O1413" s="29"/>
      <c r="P1413" s="29"/>
      <c r="Q1413" s="29"/>
      <c r="R1413" s="29"/>
      <c r="S1413" s="29"/>
    </row>
    <row r="1414" spans="13:19" ht="16.5" customHeight="1" x14ac:dyDescent="0.2">
      <c r="M1414" s="29"/>
      <c r="N1414" s="29"/>
      <c r="O1414" s="29"/>
      <c r="P1414" s="29"/>
      <c r="Q1414" s="29"/>
      <c r="R1414" s="29"/>
      <c r="S1414" s="29"/>
    </row>
    <row r="1415" spans="13:19" ht="16.5" customHeight="1" x14ac:dyDescent="0.2">
      <c r="M1415" s="29"/>
      <c r="N1415" s="29"/>
      <c r="O1415" s="29"/>
      <c r="P1415" s="29"/>
      <c r="Q1415" s="29"/>
      <c r="R1415" s="29"/>
      <c r="S1415" s="29"/>
    </row>
    <row r="1416" spans="13:19" ht="16.5" customHeight="1" x14ac:dyDescent="0.2">
      <c r="M1416" s="29"/>
      <c r="N1416" s="29"/>
      <c r="O1416" s="29"/>
      <c r="P1416" s="29"/>
      <c r="Q1416" s="29"/>
      <c r="R1416" s="29"/>
      <c r="S1416" s="29"/>
    </row>
    <row r="1417" spans="13:19" ht="16.5" customHeight="1" x14ac:dyDescent="0.2">
      <c r="M1417" s="29"/>
      <c r="N1417" s="29"/>
      <c r="O1417" s="29"/>
      <c r="P1417" s="29"/>
      <c r="Q1417" s="29"/>
      <c r="R1417" s="29"/>
      <c r="S1417" s="29"/>
    </row>
    <row r="1418" spans="13:19" ht="16.5" customHeight="1" x14ac:dyDescent="0.2">
      <c r="M1418" s="29"/>
      <c r="N1418" s="29"/>
      <c r="O1418" s="29"/>
      <c r="P1418" s="29"/>
      <c r="Q1418" s="29"/>
      <c r="R1418" s="29"/>
      <c r="S1418" s="29"/>
    </row>
    <row r="1419" spans="13:19" ht="16.5" customHeight="1" x14ac:dyDescent="0.2">
      <c r="M1419" s="29"/>
      <c r="N1419" s="29"/>
      <c r="O1419" s="29"/>
      <c r="P1419" s="29"/>
      <c r="Q1419" s="29"/>
      <c r="R1419" s="29"/>
      <c r="S1419" s="29"/>
    </row>
    <row r="1420" spans="13:19" ht="16.5" customHeight="1" x14ac:dyDescent="0.2">
      <c r="M1420" s="29"/>
      <c r="N1420" s="29"/>
      <c r="O1420" s="29"/>
      <c r="P1420" s="29"/>
      <c r="Q1420" s="29"/>
      <c r="R1420" s="29"/>
      <c r="S1420" s="29"/>
    </row>
    <row r="1421" spans="13:19" ht="16.5" customHeight="1" x14ac:dyDescent="0.2">
      <c r="M1421" s="29"/>
      <c r="N1421" s="29"/>
      <c r="O1421" s="29"/>
      <c r="P1421" s="29"/>
      <c r="Q1421" s="29"/>
      <c r="R1421" s="29"/>
      <c r="S1421" s="29"/>
    </row>
    <row r="1422" spans="13:19" ht="16.5" customHeight="1" x14ac:dyDescent="0.2">
      <c r="M1422" s="29"/>
      <c r="N1422" s="29"/>
      <c r="O1422" s="29"/>
      <c r="P1422" s="29"/>
      <c r="Q1422" s="29"/>
      <c r="R1422" s="29"/>
      <c r="S1422" s="29"/>
    </row>
    <row r="1423" spans="13:19" ht="16.5" customHeight="1" x14ac:dyDescent="0.2">
      <c r="M1423" s="29"/>
      <c r="N1423" s="29"/>
      <c r="O1423" s="29"/>
      <c r="P1423" s="29"/>
      <c r="Q1423" s="29"/>
      <c r="R1423" s="29"/>
      <c r="S1423" s="29"/>
    </row>
    <row r="1424" spans="13:19" ht="16.5" customHeight="1" x14ac:dyDescent="0.2">
      <c r="M1424" s="29"/>
      <c r="N1424" s="29"/>
      <c r="O1424" s="29"/>
      <c r="P1424" s="29"/>
      <c r="Q1424" s="29"/>
      <c r="R1424" s="29"/>
      <c r="S1424" s="29"/>
    </row>
    <row r="1425" spans="13:19" ht="16.5" customHeight="1" x14ac:dyDescent="0.2">
      <c r="M1425" s="29"/>
      <c r="N1425" s="29"/>
      <c r="O1425" s="29"/>
      <c r="P1425" s="29"/>
      <c r="Q1425" s="29"/>
      <c r="R1425" s="29"/>
      <c r="S1425" s="29"/>
    </row>
    <row r="1426" spans="13:19" ht="16.5" customHeight="1" x14ac:dyDescent="0.2">
      <c r="M1426" s="29"/>
      <c r="N1426" s="29"/>
      <c r="O1426" s="29"/>
      <c r="P1426" s="29"/>
      <c r="Q1426" s="29"/>
      <c r="R1426" s="29"/>
      <c r="S1426" s="29"/>
    </row>
    <row r="1427" spans="13:19" ht="16.5" customHeight="1" x14ac:dyDescent="0.2">
      <c r="M1427" s="29"/>
      <c r="N1427" s="29"/>
      <c r="O1427" s="29"/>
      <c r="P1427" s="29"/>
      <c r="Q1427" s="29"/>
      <c r="R1427" s="29"/>
      <c r="S1427" s="29"/>
    </row>
    <row r="1428" spans="13:19" ht="16.5" customHeight="1" x14ac:dyDescent="0.2">
      <c r="M1428" s="29"/>
      <c r="N1428" s="29"/>
      <c r="O1428" s="29"/>
      <c r="P1428" s="29"/>
      <c r="Q1428" s="29"/>
      <c r="R1428" s="29"/>
      <c r="S1428" s="29"/>
    </row>
    <row r="1429" spans="13:19" ht="16.5" customHeight="1" x14ac:dyDescent="0.2">
      <c r="M1429" s="29"/>
      <c r="N1429" s="29"/>
      <c r="O1429" s="29"/>
      <c r="P1429" s="29"/>
      <c r="Q1429" s="29"/>
      <c r="R1429" s="29"/>
      <c r="S1429" s="29"/>
    </row>
    <row r="1430" spans="13:19" ht="16.5" customHeight="1" x14ac:dyDescent="0.2">
      <c r="M1430" s="29"/>
      <c r="N1430" s="29"/>
      <c r="O1430" s="29"/>
      <c r="P1430" s="29"/>
      <c r="Q1430" s="29"/>
      <c r="R1430" s="29"/>
      <c r="S1430" s="29"/>
    </row>
    <row r="1431" spans="13:19" ht="16.5" customHeight="1" x14ac:dyDescent="0.2">
      <c r="M1431" s="29"/>
      <c r="N1431" s="29"/>
      <c r="O1431" s="29"/>
      <c r="P1431" s="29"/>
      <c r="Q1431" s="29"/>
      <c r="R1431" s="29"/>
      <c r="S1431" s="29"/>
    </row>
    <row r="1432" spans="13:19" ht="16.5" customHeight="1" x14ac:dyDescent="0.2">
      <c r="M1432" s="29"/>
      <c r="N1432" s="29"/>
      <c r="O1432" s="29"/>
      <c r="P1432" s="29"/>
      <c r="Q1432" s="29"/>
      <c r="R1432" s="29"/>
      <c r="S1432" s="29"/>
    </row>
    <row r="1433" spans="13:19" ht="16.5" customHeight="1" x14ac:dyDescent="0.2">
      <c r="M1433" s="29"/>
      <c r="N1433" s="29"/>
      <c r="O1433" s="29"/>
      <c r="P1433" s="29"/>
      <c r="Q1433" s="29"/>
      <c r="R1433" s="29"/>
      <c r="S1433" s="29"/>
    </row>
    <row r="1434" spans="13:19" ht="16.5" customHeight="1" x14ac:dyDescent="0.2">
      <c r="M1434" s="29"/>
      <c r="N1434" s="29"/>
      <c r="O1434" s="29"/>
      <c r="P1434" s="29"/>
      <c r="Q1434" s="29"/>
      <c r="R1434" s="29"/>
      <c r="S1434" s="29"/>
    </row>
    <row r="1435" spans="13:19" ht="16.5" customHeight="1" x14ac:dyDescent="0.2">
      <c r="M1435" s="29"/>
      <c r="N1435" s="29"/>
      <c r="O1435" s="29"/>
      <c r="P1435" s="29"/>
      <c r="Q1435" s="29"/>
      <c r="R1435" s="29"/>
      <c r="S1435" s="29"/>
    </row>
    <row r="1436" spans="13:19" ht="16.5" customHeight="1" x14ac:dyDescent="0.2">
      <c r="M1436" s="29"/>
      <c r="N1436" s="29"/>
      <c r="O1436" s="29"/>
      <c r="P1436" s="29"/>
      <c r="Q1436" s="29"/>
      <c r="R1436" s="29"/>
      <c r="S1436" s="29"/>
    </row>
    <row r="1437" spans="13:19" ht="16.5" customHeight="1" x14ac:dyDescent="0.2">
      <c r="M1437" s="29"/>
      <c r="N1437" s="29"/>
      <c r="O1437" s="29"/>
      <c r="P1437" s="29"/>
      <c r="Q1437" s="29"/>
      <c r="R1437" s="29"/>
      <c r="S1437" s="29"/>
    </row>
    <row r="1438" spans="13:19" ht="16.5" customHeight="1" x14ac:dyDescent="0.2">
      <c r="M1438" s="29"/>
      <c r="N1438" s="29"/>
      <c r="O1438" s="29"/>
      <c r="P1438" s="29"/>
      <c r="Q1438" s="29"/>
      <c r="R1438" s="29"/>
      <c r="S1438" s="29"/>
    </row>
    <row r="1439" spans="13:19" ht="16.5" customHeight="1" x14ac:dyDescent="0.2">
      <c r="M1439" s="29"/>
      <c r="N1439" s="29"/>
      <c r="O1439" s="29"/>
      <c r="P1439" s="29"/>
      <c r="Q1439" s="29"/>
      <c r="R1439" s="29"/>
      <c r="S1439" s="29"/>
    </row>
    <row r="1440" spans="13:19" ht="16.5" customHeight="1" x14ac:dyDescent="0.2">
      <c r="M1440" s="29"/>
      <c r="N1440" s="29"/>
      <c r="O1440" s="29"/>
      <c r="P1440" s="29"/>
      <c r="Q1440" s="29"/>
      <c r="R1440" s="29"/>
      <c r="S1440" s="29"/>
    </row>
    <row r="1441" spans="13:19" ht="16.5" customHeight="1" x14ac:dyDescent="0.2">
      <c r="M1441" s="29"/>
      <c r="N1441" s="29"/>
      <c r="O1441" s="29"/>
      <c r="P1441" s="29"/>
      <c r="Q1441" s="29"/>
      <c r="R1441" s="29"/>
      <c r="S1441" s="29"/>
    </row>
    <row r="1442" spans="13:19" ht="16.5" customHeight="1" x14ac:dyDescent="0.2">
      <c r="M1442" s="29"/>
      <c r="N1442" s="29"/>
      <c r="O1442" s="29"/>
      <c r="P1442" s="29"/>
      <c r="Q1442" s="29"/>
      <c r="R1442" s="29"/>
      <c r="S1442" s="29"/>
    </row>
    <row r="1443" spans="13:19" ht="16.5" customHeight="1" x14ac:dyDescent="0.2">
      <c r="M1443" s="29"/>
      <c r="N1443" s="29"/>
      <c r="O1443" s="29"/>
      <c r="P1443" s="29"/>
      <c r="Q1443" s="29"/>
      <c r="R1443" s="29"/>
      <c r="S1443" s="29"/>
    </row>
    <row r="1444" spans="13:19" ht="16.5" customHeight="1" x14ac:dyDescent="0.2">
      <c r="M1444" s="29"/>
      <c r="N1444" s="29"/>
      <c r="O1444" s="29"/>
      <c r="P1444" s="29"/>
      <c r="Q1444" s="29"/>
      <c r="R1444" s="29"/>
      <c r="S1444" s="29"/>
    </row>
    <row r="1445" spans="13:19" ht="16.5" customHeight="1" x14ac:dyDescent="0.2">
      <c r="M1445" s="29"/>
      <c r="N1445" s="29"/>
      <c r="O1445" s="29"/>
      <c r="P1445" s="29"/>
      <c r="Q1445" s="29"/>
      <c r="R1445" s="29"/>
      <c r="S1445" s="29"/>
    </row>
    <row r="1446" spans="13:19" ht="16.5" customHeight="1" x14ac:dyDescent="0.2">
      <c r="M1446" s="29"/>
      <c r="N1446" s="29"/>
      <c r="O1446" s="29"/>
      <c r="P1446" s="29"/>
      <c r="Q1446" s="29"/>
      <c r="R1446" s="29"/>
      <c r="S1446" s="29"/>
    </row>
    <row r="1447" spans="13:19" ht="16.5" customHeight="1" x14ac:dyDescent="0.2">
      <c r="M1447" s="29"/>
      <c r="N1447" s="29"/>
      <c r="O1447" s="29"/>
      <c r="P1447" s="29"/>
      <c r="Q1447" s="29"/>
      <c r="R1447" s="29"/>
      <c r="S1447" s="29"/>
    </row>
    <row r="1448" spans="13:19" ht="16.5" customHeight="1" x14ac:dyDescent="0.2">
      <c r="M1448" s="29"/>
      <c r="N1448" s="29"/>
      <c r="O1448" s="29"/>
      <c r="P1448" s="29"/>
      <c r="Q1448" s="29"/>
      <c r="R1448" s="29"/>
      <c r="S1448" s="29"/>
    </row>
    <row r="1449" spans="13:19" ht="16.5" customHeight="1" x14ac:dyDescent="0.2">
      <c r="M1449" s="29"/>
      <c r="N1449" s="29"/>
      <c r="O1449" s="29"/>
      <c r="P1449" s="29"/>
      <c r="Q1449" s="29"/>
      <c r="R1449" s="29"/>
      <c r="S1449" s="29"/>
    </row>
    <row r="1450" spans="13:19" ht="16.5" customHeight="1" x14ac:dyDescent="0.2">
      <c r="M1450" s="29"/>
      <c r="N1450" s="29"/>
      <c r="O1450" s="29"/>
      <c r="P1450" s="29"/>
      <c r="Q1450" s="29"/>
      <c r="R1450" s="29"/>
      <c r="S1450" s="29"/>
    </row>
    <row r="1451" spans="13:19" ht="16.5" customHeight="1" x14ac:dyDescent="0.2">
      <c r="M1451" s="29"/>
      <c r="N1451" s="29"/>
      <c r="O1451" s="29"/>
      <c r="P1451" s="29"/>
      <c r="Q1451" s="29"/>
      <c r="R1451" s="29"/>
      <c r="S1451" s="29"/>
    </row>
    <row r="1452" spans="13:19" ht="16.5" customHeight="1" x14ac:dyDescent="0.2">
      <c r="M1452" s="29"/>
      <c r="N1452" s="29"/>
      <c r="O1452" s="29"/>
      <c r="P1452" s="29"/>
      <c r="Q1452" s="29"/>
      <c r="R1452" s="29"/>
      <c r="S1452" s="29"/>
    </row>
    <row r="1453" spans="13:19" ht="16.5" customHeight="1" x14ac:dyDescent="0.2">
      <c r="M1453" s="29"/>
      <c r="N1453" s="29"/>
      <c r="O1453" s="29"/>
      <c r="P1453" s="29"/>
      <c r="Q1453" s="29"/>
      <c r="R1453" s="29"/>
      <c r="S1453" s="29"/>
    </row>
    <row r="1454" spans="13:19" ht="16.5" customHeight="1" x14ac:dyDescent="0.2">
      <c r="M1454" s="29"/>
      <c r="N1454" s="29"/>
      <c r="O1454" s="29"/>
      <c r="P1454" s="29"/>
      <c r="Q1454" s="29"/>
      <c r="R1454" s="29"/>
      <c r="S1454" s="29"/>
    </row>
    <row r="1455" spans="13:19" ht="16.5" customHeight="1" x14ac:dyDescent="0.2">
      <c r="M1455" s="29"/>
      <c r="N1455" s="29"/>
      <c r="O1455" s="29"/>
      <c r="P1455" s="29"/>
      <c r="Q1455" s="29"/>
      <c r="R1455" s="29"/>
      <c r="S1455" s="29"/>
    </row>
    <row r="1456" spans="13:19" ht="16.5" customHeight="1" x14ac:dyDescent="0.2">
      <c r="M1456" s="29"/>
      <c r="N1456" s="29"/>
      <c r="O1456" s="29"/>
      <c r="P1456" s="29"/>
      <c r="Q1456" s="29"/>
      <c r="R1456" s="29"/>
      <c r="S1456" s="29"/>
    </row>
    <row r="1457" spans="13:19" ht="16.5" customHeight="1" x14ac:dyDescent="0.2">
      <c r="M1457" s="29"/>
      <c r="N1457" s="29"/>
      <c r="O1457" s="29"/>
      <c r="P1457" s="29"/>
      <c r="Q1457" s="29"/>
      <c r="R1457" s="29"/>
      <c r="S1457" s="29"/>
    </row>
    <row r="1458" spans="13:19" ht="16.5" customHeight="1" x14ac:dyDescent="0.2">
      <c r="M1458" s="29"/>
      <c r="N1458" s="29"/>
      <c r="O1458" s="29"/>
      <c r="P1458" s="29"/>
      <c r="Q1458" s="29"/>
      <c r="R1458" s="29"/>
      <c r="S1458" s="29"/>
    </row>
    <row r="1459" spans="13:19" ht="16.5" customHeight="1" x14ac:dyDescent="0.2">
      <c r="M1459" s="29"/>
      <c r="N1459" s="29"/>
      <c r="O1459" s="29"/>
      <c r="P1459" s="29"/>
      <c r="Q1459" s="29"/>
      <c r="R1459" s="29"/>
      <c r="S1459" s="29"/>
    </row>
    <row r="1460" spans="13:19" ht="16.5" customHeight="1" x14ac:dyDescent="0.2">
      <c r="M1460" s="29"/>
      <c r="N1460" s="29"/>
      <c r="O1460" s="29"/>
      <c r="P1460" s="29"/>
      <c r="Q1460" s="29"/>
      <c r="R1460" s="29"/>
      <c r="S1460" s="29"/>
    </row>
    <row r="1461" spans="13:19" ht="16.5" customHeight="1" x14ac:dyDescent="0.2">
      <c r="M1461" s="29"/>
      <c r="N1461" s="29"/>
      <c r="O1461" s="29"/>
      <c r="P1461" s="29"/>
      <c r="Q1461" s="29"/>
      <c r="R1461" s="29"/>
      <c r="S1461" s="29"/>
    </row>
    <row r="1462" spans="13:19" ht="16.5" customHeight="1" x14ac:dyDescent="0.2">
      <c r="M1462" s="29"/>
      <c r="N1462" s="29"/>
      <c r="O1462" s="29"/>
      <c r="P1462" s="29"/>
      <c r="Q1462" s="29"/>
      <c r="R1462" s="29"/>
      <c r="S1462" s="29"/>
    </row>
    <row r="1463" spans="13:19" ht="16.5" customHeight="1" x14ac:dyDescent="0.2">
      <c r="M1463" s="29"/>
      <c r="N1463" s="29"/>
      <c r="O1463" s="29"/>
      <c r="P1463" s="29"/>
      <c r="Q1463" s="29"/>
      <c r="R1463" s="29"/>
      <c r="S1463" s="29"/>
    </row>
    <row r="1464" spans="13:19" ht="16.5" customHeight="1" x14ac:dyDescent="0.2">
      <c r="M1464" s="29"/>
      <c r="N1464" s="29"/>
      <c r="O1464" s="29"/>
      <c r="P1464" s="29"/>
      <c r="Q1464" s="29"/>
      <c r="R1464" s="29"/>
      <c r="S1464" s="29"/>
    </row>
    <row r="1465" spans="13:19" ht="16.5" customHeight="1" x14ac:dyDescent="0.2">
      <c r="M1465" s="29"/>
      <c r="N1465" s="29"/>
      <c r="O1465" s="29"/>
      <c r="P1465" s="29"/>
      <c r="Q1465" s="29"/>
      <c r="R1465" s="29"/>
      <c r="S1465" s="29"/>
    </row>
    <row r="1466" spans="13:19" ht="16.5" customHeight="1" x14ac:dyDescent="0.2">
      <c r="M1466" s="29"/>
      <c r="N1466" s="29"/>
      <c r="O1466" s="29"/>
      <c r="P1466" s="29"/>
      <c r="Q1466" s="29"/>
      <c r="R1466" s="29"/>
      <c r="S1466" s="29"/>
    </row>
    <row r="1467" spans="13:19" ht="16.5" customHeight="1" x14ac:dyDescent="0.2">
      <c r="M1467" s="29"/>
      <c r="N1467" s="29"/>
      <c r="O1467" s="29"/>
      <c r="P1467" s="29"/>
      <c r="Q1467" s="29"/>
      <c r="R1467" s="29"/>
      <c r="S1467" s="29"/>
    </row>
    <row r="1468" spans="13:19" ht="16.5" customHeight="1" x14ac:dyDescent="0.2">
      <c r="M1468" s="29"/>
      <c r="N1468" s="29"/>
      <c r="O1468" s="29"/>
      <c r="P1468" s="29"/>
      <c r="Q1468" s="29"/>
      <c r="R1468" s="29"/>
      <c r="S1468" s="29"/>
    </row>
    <row r="1469" spans="13:19" ht="16.5" customHeight="1" x14ac:dyDescent="0.2">
      <c r="M1469" s="29"/>
      <c r="N1469" s="29"/>
      <c r="O1469" s="29"/>
      <c r="P1469" s="29"/>
      <c r="Q1469" s="29"/>
      <c r="R1469" s="29"/>
      <c r="S1469" s="29"/>
    </row>
    <row r="1470" spans="13:19" ht="16.5" customHeight="1" x14ac:dyDescent="0.2">
      <c r="M1470" s="29"/>
      <c r="N1470" s="29"/>
      <c r="O1470" s="29"/>
      <c r="P1470" s="29"/>
      <c r="Q1470" s="29"/>
      <c r="R1470" s="29"/>
      <c r="S1470" s="29"/>
    </row>
    <row r="1471" spans="13:19" ht="16.5" customHeight="1" x14ac:dyDescent="0.2">
      <c r="M1471" s="29"/>
      <c r="N1471" s="29"/>
      <c r="O1471" s="29"/>
      <c r="P1471" s="29"/>
      <c r="Q1471" s="29"/>
      <c r="R1471" s="29"/>
      <c r="S1471" s="29"/>
    </row>
    <row r="1472" spans="13:19" ht="16.5" customHeight="1" x14ac:dyDescent="0.2">
      <c r="M1472" s="29"/>
      <c r="N1472" s="29"/>
      <c r="O1472" s="29"/>
      <c r="P1472" s="29"/>
      <c r="Q1472" s="29"/>
      <c r="R1472" s="29"/>
      <c r="S1472" s="29"/>
    </row>
    <row r="1473" spans="13:19" ht="16.5" customHeight="1" x14ac:dyDescent="0.2">
      <c r="M1473" s="29"/>
      <c r="N1473" s="29"/>
      <c r="O1473" s="29"/>
      <c r="P1473" s="29"/>
      <c r="Q1473" s="29"/>
      <c r="R1473" s="29"/>
      <c r="S1473" s="29"/>
    </row>
    <row r="1474" spans="13:19" ht="16.5" customHeight="1" x14ac:dyDescent="0.2">
      <c r="M1474" s="29"/>
      <c r="N1474" s="29"/>
      <c r="O1474" s="29"/>
      <c r="P1474" s="29"/>
      <c r="Q1474" s="29"/>
      <c r="R1474" s="29"/>
      <c r="S1474" s="29"/>
    </row>
    <row r="1475" spans="13:19" ht="16.5" customHeight="1" x14ac:dyDescent="0.2">
      <c r="M1475" s="29"/>
      <c r="N1475" s="29"/>
      <c r="O1475" s="29"/>
      <c r="P1475" s="29"/>
      <c r="Q1475" s="29"/>
      <c r="R1475" s="29"/>
      <c r="S1475" s="29"/>
    </row>
    <row r="1476" spans="13:19" ht="16.5" customHeight="1" x14ac:dyDescent="0.2">
      <c r="M1476" s="29"/>
      <c r="N1476" s="29"/>
      <c r="O1476" s="29"/>
      <c r="P1476" s="29"/>
      <c r="Q1476" s="29"/>
      <c r="R1476" s="29"/>
      <c r="S1476" s="29"/>
    </row>
    <row r="1477" spans="13:19" ht="16.5" customHeight="1" x14ac:dyDescent="0.2">
      <c r="M1477" s="29"/>
      <c r="N1477" s="29"/>
      <c r="O1477" s="29"/>
      <c r="P1477" s="29"/>
      <c r="Q1477" s="29"/>
      <c r="R1477" s="29"/>
      <c r="S1477" s="29"/>
    </row>
    <row r="1478" spans="13:19" ht="16.5" customHeight="1" x14ac:dyDescent="0.2">
      <c r="M1478" s="29"/>
      <c r="N1478" s="29"/>
      <c r="O1478" s="29"/>
      <c r="P1478" s="29"/>
      <c r="Q1478" s="29"/>
      <c r="R1478" s="29"/>
      <c r="S1478" s="29"/>
    </row>
    <row r="1479" spans="13:19" ht="16.5" customHeight="1" x14ac:dyDescent="0.2">
      <c r="M1479" s="29"/>
      <c r="N1479" s="29"/>
      <c r="O1479" s="29"/>
      <c r="P1479" s="29"/>
      <c r="Q1479" s="29"/>
      <c r="R1479" s="29"/>
      <c r="S1479" s="29"/>
    </row>
    <row r="1480" spans="13:19" ht="16.5" customHeight="1" x14ac:dyDescent="0.2">
      <c r="M1480" s="29"/>
      <c r="N1480" s="29"/>
      <c r="O1480" s="29"/>
      <c r="P1480" s="29"/>
      <c r="Q1480" s="29"/>
      <c r="R1480" s="29"/>
      <c r="S1480" s="29"/>
    </row>
    <row r="1481" spans="13:19" ht="16.5" customHeight="1" x14ac:dyDescent="0.2">
      <c r="M1481" s="29"/>
      <c r="N1481" s="29"/>
      <c r="O1481" s="29"/>
      <c r="P1481" s="29"/>
      <c r="Q1481" s="29"/>
      <c r="R1481" s="29"/>
      <c r="S1481" s="29"/>
    </row>
    <row r="1482" spans="13:19" ht="16.5" customHeight="1" x14ac:dyDescent="0.2">
      <c r="M1482" s="29"/>
      <c r="N1482" s="29"/>
      <c r="O1482" s="29"/>
      <c r="P1482" s="29"/>
      <c r="Q1482" s="29"/>
      <c r="R1482" s="29"/>
      <c r="S1482" s="29"/>
    </row>
    <row r="1483" spans="13:19" ht="16.5" customHeight="1" x14ac:dyDescent="0.2">
      <c r="M1483" s="29"/>
      <c r="N1483" s="29"/>
      <c r="O1483" s="29"/>
      <c r="P1483" s="29"/>
      <c r="Q1483" s="29"/>
      <c r="R1483" s="29"/>
      <c r="S1483" s="29"/>
    </row>
    <row r="1484" spans="13:19" ht="16.5" customHeight="1" x14ac:dyDescent="0.2">
      <c r="M1484" s="29"/>
      <c r="N1484" s="29"/>
      <c r="O1484" s="29"/>
      <c r="P1484" s="29"/>
      <c r="Q1484" s="29"/>
      <c r="R1484" s="29"/>
      <c r="S1484" s="29"/>
    </row>
    <row r="1485" spans="13:19" ht="16.5" customHeight="1" x14ac:dyDescent="0.2">
      <c r="M1485" s="29"/>
      <c r="N1485" s="29"/>
      <c r="O1485" s="29"/>
      <c r="P1485" s="29"/>
      <c r="Q1485" s="29"/>
      <c r="R1485" s="29"/>
      <c r="S1485" s="29"/>
    </row>
    <row r="1486" spans="13:19" ht="16.5" customHeight="1" x14ac:dyDescent="0.2">
      <c r="M1486" s="29"/>
      <c r="N1486" s="29"/>
      <c r="O1486" s="29"/>
      <c r="P1486" s="29"/>
      <c r="Q1486" s="29"/>
      <c r="R1486" s="29"/>
      <c r="S1486" s="29"/>
    </row>
    <row r="1487" spans="13:19" ht="16.5" customHeight="1" x14ac:dyDescent="0.2">
      <c r="M1487" s="29"/>
      <c r="N1487" s="29"/>
      <c r="O1487" s="29"/>
      <c r="P1487" s="29"/>
      <c r="Q1487" s="29"/>
      <c r="R1487" s="29"/>
      <c r="S1487" s="29"/>
    </row>
    <row r="1488" spans="13:19" ht="16.5" customHeight="1" x14ac:dyDescent="0.2">
      <c r="M1488" s="29"/>
      <c r="N1488" s="29"/>
      <c r="O1488" s="29"/>
      <c r="P1488" s="29"/>
      <c r="Q1488" s="29"/>
      <c r="R1488" s="29"/>
      <c r="S1488" s="29"/>
    </row>
    <row r="1489" spans="13:19" ht="16.5" customHeight="1" x14ac:dyDescent="0.2">
      <c r="M1489" s="29"/>
      <c r="N1489" s="29"/>
      <c r="O1489" s="29"/>
      <c r="P1489" s="29"/>
      <c r="Q1489" s="29"/>
      <c r="R1489" s="29"/>
      <c r="S1489" s="29"/>
    </row>
    <row r="1490" spans="13:19" ht="16.5" customHeight="1" x14ac:dyDescent="0.2">
      <c r="M1490" s="29"/>
      <c r="N1490" s="29"/>
      <c r="O1490" s="29"/>
      <c r="P1490" s="29"/>
      <c r="Q1490" s="29"/>
      <c r="R1490" s="29"/>
      <c r="S1490" s="29"/>
    </row>
    <row r="1491" spans="13:19" ht="16.5" customHeight="1" x14ac:dyDescent="0.2">
      <c r="M1491" s="29"/>
      <c r="N1491" s="29"/>
      <c r="O1491" s="29"/>
      <c r="P1491" s="29"/>
      <c r="Q1491" s="29"/>
      <c r="R1491" s="29"/>
      <c r="S1491" s="29"/>
    </row>
    <row r="1492" spans="13:19" ht="16.5" customHeight="1" x14ac:dyDescent="0.2">
      <c r="M1492" s="29"/>
      <c r="N1492" s="29"/>
      <c r="O1492" s="29"/>
      <c r="P1492" s="29"/>
      <c r="Q1492" s="29"/>
      <c r="R1492" s="29"/>
      <c r="S1492" s="29"/>
    </row>
    <row r="1493" spans="13:19" ht="16.5" customHeight="1" x14ac:dyDescent="0.2">
      <c r="M1493" s="29"/>
      <c r="N1493" s="29"/>
      <c r="O1493" s="29"/>
      <c r="P1493" s="29"/>
      <c r="Q1493" s="29"/>
      <c r="R1493" s="29"/>
      <c r="S1493" s="29"/>
    </row>
    <row r="1494" spans="13:19" ht="16.5" customHeight="1" x14ac:dyDescent="0.2">
      <c r="M1494" s="29"/>
      <c r="N1494" s="29"/>
      <c r="O1494" s="29"/>
      <c r="P1494" s="29"/>
      <c r="Q1494" s="29"/>
      <c r="R1494" s="29"/>
      <c r="S1494" s="29"/>
    </row>
    <row r="1495" spans="13:19" ht="16.5" customHeight="1" x14ac:dyDescent="0.2">
      <c r="M1495" s="29"/>
      <c r="N1495" s="29"/>
      <c r="O1495" s="29"/>
      <c r="P1495" s="29"/>
      <c r="Q1495" s="29"/>
      <c r="R1495" s="29"/>
      <c r="S1495" s="29"/>
    </row>
    <row r="1496" spans="13:19" ht="16.5" customHeight="1" x14ac:dyDescent="0.2">
      <c r="M1496" s="29"/>
      <c r="N1496" s="29"/>
      <c r="O1496" s="29"/>
      <c r="P1496" s="29"/>
      <c r="Q1496" s="29"/>
      <c r="R1496" s="29"/>
      <c r="S1496" s="29"/>
    </row>
    <row r="1497" spans="13:19" ht="16.5" customHeight="1" x14ac:dyDescent="0.2">
      <c r="M1497" s="29"/>
      <c r="N1497" s="29"/>
      <c r="O1497" s="29"/>
      <c r="P1497" s="29"/>
      <c r="Q1497" s="29"/>
      <c r="R1497" s="29"/>
      <c r="S1497" s="29"/>
    </row>
    <row r="1498" spans="13:19" ht="16.5" customHeight="1" x14ac:dyDescent="0.2">
      <c r="M1498" s="29"/>
      <c r="N1498" s="29"/>
      <c r="O1498" s="29"/>
      <c r="P1498" s="29"/>
      <c r="Q1498" s="29"/>
      <c r="R1498" s="29"/>
      <c r="S1498" s="29"/>
    </row>
    <row r="1499" spans="13:19" ht="16.5" customHeight="1" x14ac:dyDescent="0.2">
      <c r="M1499" s="29"/>
      <c r="N1499" s="29"/>
      <c r="O1499" s="29"/>
      <c r="P1499" s="29"/>
      <c r="Q1499" s="29"/>
      <c r="R1499" s="29"/>
      <c r="S1499" s="29"/>
    </row>
    <row r="1500" spans="13:19" ht="16.5" customHeight="1" x14ac:dyDescent="0.2">
      <c r="M1500" s="29"/>
      <c r="N1500" s="29"/>
      <c r="O1500" s="29"/>
      <c r="P1500" s="29"/>
      <c r="Q1500" s="29"/>
      <c r="R1500" s="29"/>
      <c r="S1500" s="29"/>
    </row>
    <row r="1501" spans="13:19" ht="16.5" customHeight="1" x14ac:dyDescent="0.2">
      <c r="M1501" s="29"/>
      <c r="N1501" s="29"/>
      <c r="O1501" s="29"/>
      <c r="P1501" s="29"/>
      <c r="Q1501" s="29"/>
      <c r="R1501" s="29"/>
      <c r="S1501" s="29"/>
    </row>
    <row r="1502" spans="13:19" ht="16.5" customHeight="1" x14ac:dyDescent="0.2">
      <c r="M1502" s="29"/>
      <c r="N1502" s="29"/>
      <c r="O1502" s="29"/>
      <c r="P1502" s="29"/>
      <c r="Q1502" s="29"/>
      <c r="R1502" s="29"/>
      <c r="S1502" s="29"/>
    </row>
    <row r="1503" spans="13:19" ht="16.5" customHeight="1" x14ac:dyDescent="0.2">
      <c r="M1503" s="29"/>
      <c r="N1503" s="29"/>
      <c r="O1503" s="29"/>
      <c r="P1503" s="29"/>
      <c r="Q1503" s="29"/>
      <c r="R1503" s="29"/>
      <c r="S1503" s="29"/>
    </row>
    <row r="1504" spans="13:19" ht="16.5" customHeight="1" x14ac:dyDescent="0.2">
      <c r="M1504" s="29"/>
      <c r="N1504" s="29"/>
      <c r="O1504" s="29"/>
      <c r="P1504" s="29"/>
      <c r="Q1504" s="29"/>
      <c r="R1504" s="29"/>
      <c r="S1504" s="29"/>
    </row>
    <row r="1505" spans="13:19" ht="16.5" customHeight="1" x14ac:dyDescent="0.2">
      <c r="M1505" s="29"/>
      <c r="N1505" s="29"/>
      <c r="O1505" s="29"/>
      <c r="P1505" s="29"/>
      <c r="Q1505" s="29"/>
      <c r="R1505" s="29"/>
      <c r="S1505" s="29"/>
    </row>
    <row r="1506" spans="13:19" ht="16.5" customHeight="1" x14ac:dyDescent="0.2">
      <c r="M1506" s="29"/>
      <c r="N1506" s="29"/>
      <c r="O1506" s="29"/>
      <c r="P1506" s="29"/>
      <c r="Q1506" s="29"/>
      <c r="R1506" s="29"/>
      <c r="S1506" s="29"/>
    </row>
    <row r="1507" spans="13:19" ht="16.5" customHeight="1" x14ac:dyDescent="0.2">
      <c r="M1507" s="29"/>
      <c r="N1507" s="29"/>
      <c r="O1507" s="29"/>
      <c r="P1507" s="29"/>
      <c r="Q1507" s="29"/>
      <c r="R1507" s="29"/>
      <c r="S1507" s="29"/>
    </row>
    <row r="1508" spans="13:19" ht="16.5" customHeight="1" x14ac:dyDescent="0.2">
      <c r="M1508" s="29"/>
      <c r="N1508" s="29"/>
      <c r="O1508" s="29"/>
      <c r="P1508" s="29"/>
      <c r="Q1508" s="29"/>
      <c r="R1508" s="29"/>
      <c r="S1508" s="29"/>
    </row>
    <row r="1509" spans="13:19" ht="16.5" customHeight="1" x14ac:dyDescent="0.2">
      <c r="M1509" s="29"/>
      <c r="N1509" s="29"/>
      <c r="O1509" s="29"/>
      <c r="P1509" s="29"/>
      <c r="Q1509" s="29"/>
      <c r="R1509" s="29"/>
      <c r="S1509" s="29"/>
    </row>
    <row r="1510" spans="13:19" ht="16.5" customHeight="1" x14ac:dyDescent="0.2">
      <c r="M1510" s="29"/>
      <c r="N1510" s="29"/>
      <c r="O1510" s="29"/>
      <c r="P1510" s="29"/>
      <c r="Q1510" s="29"/>
      <c r="R1510" s="29"/>
      <c r="S1510" s="29"/>
    </row>
    <row r="1511" spans="13:19" ht="16.5" customHeight="1" x14ac:dyDescent="0.2">
      <c r="M1511" s="29"/>
      <c r="N1511" s="29"/>
      <c r="O1511" s="29"/>
      <c r="P1511" s="29"/>
      <c r="Q1511" s="29"/>
      <c r="R1511" s="29"/>
      <c r="S1511" s="29"/>
    </row>
    <row r="1512" spans="13:19" ht="16.5" customHeight="1" x14ac:dyDescent="0.2">
      <c r="M1512" s="29"/>
      <c r="N1512" s="29"/>
      <c r="O1512" s="29"/>
      <c r="P1512" s="29"/>
      <c r="Q1512" s="29"/>
      <c r="R1512" s="29"/>
      <c r="S1512" s="29"/>
    </row>
    <row r="1513" spans="13:19" ht="16.5" customHeight="1" x14ac:dyDescent="0.2">
      <c r="M1513" s="29"/>
      <c r="N1513" s="29"/>
      <c r="O1513" s="29"/>
      <c r="P1513" s="29"/>
      <c r="Q1513" s="29"/>
      <c r="R1513" s="29"/>
      <c r="S1513" s="29"/>
    </row>
    <row r="1514" spans="13:19" ht="16.5" customHeight="1" x14ac:dyDescent="0.2">
      <c r="M1514" s="29"/>
      <c r="N1514" s="29"/>
      <c r="O1514" s="29"/>
      <c r="P1514" s="29"/>
      <c r="Q1514" s="29"/>
      <c r="R1514" s="29"/>
      <c r="S1514" s="29"/>
    </row>
    <row r="1515" spans="13:19" ht="16.5" customHeight="1" x14ac:dyDescent="0.2">
      <c r="M1515" s="29"/>
      <c r="N1515" s="29"/>
      <c r="O1515" s="29"/>
      <c r="P1515" s="29"/>
      <c r="Q1515" s="29"/>
      <c r="R1515" s="29"/>
      <c r="S1515" s="29"/>
    </row>
    <row r="1516" spans="13:19" ht="16.5" customHeight="1" x14ac:dyDescent="0.2">
      <c r="M1516" s="29"/>
      <c r="N1516" s="29"/>
      <c r="O1516" s="29"/>
      <c r="P1516" s="29"/>
      <c r="Q1516" s="29"/>
      <c r="R1516" s="29"/>
      <c r="S1516" s="29"/>
    </row>
    <row r="1517" spans="13:19" ht="16.5" customHeight="1" x14ac:dyDescent="0.2">
      <c r="M1517" s="29"/>
      <c r="N1517" s="29"/>
      <c r="O1517" s="29"/>
      <c r="P1517" s="29"/>
      <c r="Q1517" s="29"/>
      <c r="R1517" s="29"/>
      <c r="S1517" s="29"/>
    </row>
    <row r="1518" spans="13:19" ht="16.5" customHeight="1" x14ac:dyDescent="0.2">
      <c r="M1518" s="29"/>
      <c r="N1518" s="29"/>
      <c r="O1518" s="29"/>
      <c r="P1518" s="29"/>
      <c r="Q1518" s="29"/>
      <c r="R1518" s="29"/>
      <c r="S1518" s="29"/>
    </row>
    <row r="1519" spans="13:19" ht="16.5" customHeight="1" x14ac:dyDescent="0.2">
      <c r="M1519" s="29"/>
      <c r="N1519" s="29"/>
      <c r="O1519" s="29"/>
      <c r="P1519" s="29"/>
      <c r="Q1519" s="29"/>
      <c r="R1519" s="29"/>
      <c r="S1519" s="29"/>
    </row>
    <row r="1520" spans="13:19" ht="16.5" customHeight="1" x14ac:dyDescent="0.2">
      <c r="M1520" s="29"/>
      <c r="N1520" s="29"/>
      <c r="O1520" s="29"/>
      <c r="P1520" s="29"/>
      <c r="Q1520" s="29"/>
      <c r="R1520" s="29"/>
      <c r="S1520" s="29"/>
    </row>
    <row r="1521" spans="13:19" ht="16.5" customHeight="1" x14ac:dyDescent="0.2">
      <c r="M1521" s="29"/>
      <c r="N1521" s="29"/>
      <c r="O1521" s="29"/>
      <c r="P1521" s="29"/>
      <c r="Q1521" s="29"/>
      <c r="R1521" s="29"/>
      <c r="S1521" s="29"/>
    </row>
    <row r="1522" spans="13:19" ht="16.5" customHeight="1" x14ac:dyDescent="0.2">
      <c r="M1522" s="29"/>
      <c r="N1522" s="29"/>
      <c r="O1522" s="29"/>
      <c r="P1522" s="29"/>
      <c r="Q1522" s="29"/>
      <c r="R1522" s="29"/>
      <c r="S1522" s="29"/>
    </row>
    <row r="1523" spans="13:19" ht="16.5" customHeight="1" x14ac:dyDescent="0.2">
      <c r="M1523" s="29"/>
      <c r="N1523" s="29"/>
      <c r="O1523" s="29"/>
      <c r="P1523" s="29"/>
      <c r="Q1523" s="29"/>
      <c r="R1523" s="29"/>
      <c r="S1523" s="29"/>
    </row>
    <row r="1524" spans="13:19" ht="16.5" customHeight="1" x14ac:dyDescent="0.2">
      <c r="M1524" s="29"/>
      <c r="N1524" s="29"/>
      <c r="O1524" s="29"/>
      <c r="P1524" s="29"/>
      <c r="Q1524" s="29"/>
      <c r="R1524" s="29"/>
      <c r="S1524" s="29"/>
    </row>
    <row r="1525" spans="13:19" ht="16.5" customHeight="1" x14ac:dyDescent="0.2">
      <c r="M1525" s="29"/>
      <c r="N1525" s="29"/>
      <c r="O1525" s="29"/>
      <c r="P1525" s="29"/>
      <c r="Q1525" s="29"/>
      <c r="R1525" s="29"/>
      <c r="S1525" s="29"/>
    </row>
    <row r="1526" spans="13:19" ht="16.5" customHeight="1" x14ac:dyDescent="0.2">
      <c r="M1526" s="29"/>
      <c r="N1526" s="29"/>
      <c r="O1526" s="29"/>
      <c r="P1526" s="29"/>
      <c r="Q1526" s="29"/>
      <c r="R1526" s="29"/>
      <c r="S1526" s="29"/>
    </row>
    <row r="1527" spans="13:19" ht="16.5" customHeight="1" x14ac:dyDescent="0.2">
      <c r="M1527" s="29"/>
      <c r="N1527" s="29"/>
      <c r="O1527" s="29"/>
      <c r="P1527" s="29"/>
      <c r="Q1527" s="29"/>
      <c r="R1527" s="29"/>
      <c r="S1527" s="29"/>
    </row>
    <row r="1528" spans="13:19" ht="16.5" customHeight="1" x14ac:dyDescent="0.2">
      <c r="M1528" s="29"/>
      <c r="N1528" s="29"/>
      <c r="O1528" s="29"/>
      <c r="P1528" s="29"/>
      <c r="Q1528" s="29"/>
      <c r="R1528" s="29"/>
      <c r="S1528" s="29"/>
    </row>
    <row r="1529" spans="13:19" ht="16.5" customHeight="1" x14ac:dyDescent="0.2">
      <c r="M1529" s="29"/>
      <c r="N1529" s="29"/>
      <c r="O1529" s="29"/>
      <c r="P1529" s="29"/>
      <c r="Q1529" s="29"/>
      <c r="R1529" s="29"/>
      <c r="S1529" s="29"/>
    </row>
    <row r="1530" spans="13:19" ht="16.5" customHeight="1" x14ac:dyDescent="0.2">
      <c r="M1530" s="29"/>
      <c r="N1530" s="29"/>
      <c r="O1530" s="29"/>
      <c r="P1530" s="29"/>
      <c r="Q1530" s="29"/>
      <c r="R1530" s="29"/>
      <c r="S1530" s="29"/>
    </row>
    <row r="1531" spans="13:19" ht="16.5" customHeight="1" x14ac:dyDescent="0.2">
      <c r="M1531" s="29"/>
      <c r="N1531" s="29"/>
      <c r="O1531" s="29"/>
      <c r="P1531" s="29"/>
      <c r="Q1531" s="29"/>
      <c r="R1531" s="29"/>
      <c r="S1531" s="29"/>
    </row>
    <row r="1532" spans="13:19" ht="16.5" customHeight="1" x14ac:dyDescent="0.2">
      <c r="M1532" s="29"/>
      <c r="N1532" s="29"/>
      <c r="O1532" s="29"/>
      <c r="P1532" s="29"/>
      <c r="Q1532" s="29"/>
      <c r="R1532" s="29"/>
      <c r="S1532" s="29"/>
    </row>
    <row r="1533" spans="13:19" ht="16.5" customHeight="1" x14ac:dyDescent="0.2">
      <c r="M1533" s="29"/>
      <c r="N1533" s="29"/>
      <c r="O1533" s="29"/>
      <c r="P1533" s="29"/>
      <c r="Q1533" s="29"/>
      <c r="R1533" s="29"/>
      <c r="S1533" s="29"/>
    </row>
    <row r="1534" spans="13:19" ht="16.5" customHeight="1" x14ac:dyDescent="0.2">
      <c r="M1534" s="29"/>
      <c r="N1534" s="29"/>
      <c r="O1534" s="29"/>
      <c r="P1534" s="29"/>
      <c r="Q1534" s="29"/>
      <c r="R1534" s="29"/>
      <c r="S1534" s="29"/>
    </row>
    <row r="1535" spans="13:19" ht="16.5" customHeight="1" x14ac:dyDescent="0.2">
      <c r="M1535" s="29"/>
      <c r="N1535" s="29"/>
      <c r="O1535" s="29"/>
      <c r="P1535" s="29"/>
      <c r="Q1535" s="29"/>
      <c r="R1535" s="29"/>
      <c r="S1535" s="29"/>
    </row>
    <row r="1536" spans="13:19" ht="16.5" customHeight="1" x14ac:dyDescent="0.2">
      <c r="M1536" s="29"/>
      <c r="N1536" s="29"/>
      <c r="O1536" s="29"/>
      <c r="P1536" s="29"/>
      <c r="Q1536" s="29"/>
      <c r="R1536" s="29"/>
      <c r="S1536" s="29"/>
    </row>
    <row r="1537" spans="13:19" ht="16.5" customHeight="1" x14ac:dyDescent="0.2">
      <c r="M1537" s="29"/>
      <c r="N1537" s="29"/>
      <c r="O1537" s="29"/>
      <c r="P1537" s="29"/>
      <c r="Q1537" s="29"/>
      <c r="R1537" s="29"/>
      <c r="S1537" s="29"/>
    </row>
    <row r="1538" spans="13:19" ht="16.5" customHeight="1" x14ac:dyDescent="0.2">
      <c r="M1538" s="29"/>
      <c r="N1538" s="29"/>
      <c r="O1538" s="29"/>
      <c r="P1538" s="29"/>
      <c r="Q1538" s="29"/>
      <c r="R1538" s="29"/>
      <c r="S1538" s="29"/>
    </row>
    <row r="1539" spans="13:19" ht="16.5" customHeight="1" x14ac:dyDescent="0.2">
      <c r="M1539" s="29"/>
      <c r="N1539" s="29"/>
      <c r="O1539" s="29"/>
      <c r="P1539" s="29"/>
      <c r="Q1539" s="29"/>
      <c r="R1539" s="29"/>
      <c r="S1539" s="29"/>
    </row>
    <row r="1540" spans="13:19" ht="16.5" customHeight="1" x14ac:dyDescent="0.2">
      <c r="M1540" s="29"/>
      <c r="N1540" s="29"/>
      <c r="O1540" s="29"/>
      <c r="P1540" s="29"/>
      <c r="Q1540" s="29"/>
      <c r="R1540" s="29"/>
      <c r="S1540" s="29"/>
    </row>
    <row r="1541" spans="13:19" ht="16.5" customHeight="1" x14ac:dyDescent="0.2">
      <c r="M1541" s="29"/>
      <c r="N1541" s="29"/>
      <c r="O1541" s="29"/>
      <c r="P1541" s="29"/>
      <c r="Q1541" s="29"/>
      <c r="R1541" s="29"/>
      <c r="S1541" s="29"/>
    </row>
    <row r="1542" spans="13:19" ht="16.5" customHeight="1" x14ac:dyDescent="0.2">
      <c r="M1542" s="29"/>
      <c r="N1542" s="29"/>
      <c r="O1542" s="29"/>
      <c r="P1542" s="29"/>
      <c r="Q1542" s="29"/>
      <c r="R1542" s="29"/>
      <c r="S1542" s="29"/>
    </row>
    <row r="1543" spans="13:19" ht="16.5" customHeight="1" x14ac:dyDescent="0.2">
      <c r="M1543" s="29"/>
      <c r="N1543" s="29"/>
      <c r="O1543" s="29"/>
      <c r="P1543" s="29"/>
      <c r="Q1543" s="29"/>
      <c r="R1543" s="29"/>
      <c r="S1543" s="29"/>
    </row>
    <row r="1544" spans="13:19" ht="16.5" customHeight="1" x14ac:dyDescent="0.2">
      <c r="M1544" s="29"/>
      <c r="N1544" s="29"/>
      <c r="O1544" s="29"/>
      <c r="P1544" s="29"/>
      <c r="Q1544" s="29"/>
      <c r="R1544" s="29"/>
      <c r="S1544" s="29"/>
    </row>
    <row r="1545" spans="13:19" ht="16.5" customHeight="1" x14ac:dyDescent="0.2">
      <c r="M1545" s="29"/>
      <c r="N1545" s="29"/>
      <c r="O1545" s="29"/>
      <c r="P1545" s="29"/>
      <c r="Q1545" s="29"/>
      <c r="R1545" s="29"/>
      <c r="S1545" s="29"/>
    </row>
    <row r="1546" spans="13:19" ht="16.5" customHeight="1" x14ac:dyDescent="0.2">
      <c r="M1546" s="29"/>
      <c r="N1546" s="29"/>
      <c r="O1546" s="29"/>
      <c r="P1546" s="29"/>
      <c r="Q1546" s="29"/>
      <c r="R1546" s="29"/>
      <c r="S1546" s="29"/>
    </row>
    <row r="1547" spans="13:19" ht="16.5" customHeight="1" x14ac:dyDescent="0.2">
      <c r="M1547" s="29"/>
      <c r="N1547" s="29"/>
      <c r="O1547" s="29"/>
      <c r="P1547" s="29"/>
      <c r="Q1547" s="29"/>
      <c r="R1547" s="29"/>
      <c r="S1547" s="29"/>
    </row>
    <row r="1548" spans="13:19" ht="16.5" customHeight="1" x14ac:dyDescent="0.2">
      <c r="M1548" s="29"/>
      <c r="N1548" s="29"/>
      <c r="O1548" s="29"/>
      <c r="P1548" s="29"/>
      <c r="Q1548" s="29"/>
      <c r="R1548" s="29"/>
      <c r="S1548" s="29"/>
    </row>
    <row r="1549" spans="13:19" ht="16.5" customHeight="1" x14ac:dyDescent="0.2">
      <c r="M1549" s="29"/>
      <c r="N1549" s="29"/>
      <c r="O1549" s="29"/>
      <c r="P1549" s="29"/>
      <c r="Q1549" s="29"/>
      <c r="R1549" s="29"/>
      <c r="S1549" s="29"/>
    </row>
    <row r="1550" spans="13:19" ht="16.5" customHeight="1" x14ac:dyDescent="0.2">
      <c r="M1550" s="29"/>
      <c r="N1550" s="29"/>
      <c r="O1550" s="29"/>
      <c r="P1550" s="29"/>
      <c r="Q1550" s="29"/>
      <c r="R1550" s="29"/>
      <c r="S1550" s="29"/>
    </row>
    <row r="1551" spans="13:19" ht="16.5" customHeight="1" x14ac:dyDescent="0.2">
      <c r="M1551" s="29"/>
      <c r="N1551" s="29"/>
      <c r="O1551" s="29"/>
      <c r="P1551" s="29"/>
      <c r="Q1551" s="29"/>
      <c r="R1551" s="29"/>
      <c r="S1551" s="29"/>
    </row>
    <row r="1552" spans="13:19" ht="16.5" customHeight="1" x14ac:dyDescent="0.2">
      <c r="M1552" s="29"/>
      <c r="N1552" s="29"/>
      <c r="O1552" s="29"/>
      <c r="P1552" s="29"/>
      <c r="Q1552" s="29"/>
      <c r="R1552" s="29"/>
      <c r="S1552" s="29"/>
    </row>
    <row r="1553" spans="13:19" ht="16.5" customHeight="1" x14ac:dyDescent="0.2">
      <c r="M1553" s="29"/>
      <c r="N1553" s="29"/>
      <c r="O1553" s="29"/>
      <c r="P1553" s="29"/>
      <c r="Q1553" s="29"/>
      <c r="R1553" s="29"/>
      <c r="S1553" s="29"/>
    </row>
    <row r="1554" spans="13:19" ht="16.5" customHeight="1" x14ac:dyDescent="0.2">
      <c r="M1554" s="29"/>
      <c r="N1554" s="29"/>
      <c r="O1554" s="29"/>
      <c r="P1554" s="29"/>
      <c r="Q1554" s="29"/>
      <c r="R1554" s="29"/>
      <c r="S1554" s="29"/>
    </row>
    <row r="1555" spans="13:19" ht="16.5" customHeight="1" x14ac:dyDescent="0.2">
      <c r="M1555" s="29"/>
      <c r="N1555" s="29"/>
      <c r="O1555" s="29"/>
      <c r="P1555" s="29"/>
      <c r="Q1555" s="29"/>
      <c r="R1555" s="29"/>
      <c r="S1555" s="29"/>
    </row>
    <row r="1556" spans="13:19" ht="16.5" customHeight="1" x14ac:dyDescent="0.2">
      <c r="M1556" s="29"/>
      <c r="N1556" s="29"/>
      <c r="O1556" s="29"/>
      <c r="P1556" s="29"/>
      <c r="Q1556" s="29"/>
      <c r="R1556" s="29"/>
      <c r="S1556" s="29"/>
    </row>
    <row r="1557" spans="13:19" ht="16.5" customHeight="1" x14ac:dyDescent="0.2">
      <c r="M1557" s="29"/>
      <c r="N1557" s="29"/>
      <c r="O1557" s="29"/>
      <c r="P1557" s="29"/>
      <c r="Q1557" s="29"/>
      <c r="R1557" s="29"/>
      <c r="S1557" s="29"/>
    </row>
    <row r="1558" spans="13:19" ht="16.5" customHeight="1" x14ac:dyDescent="0.2">
      <c r="M1558" s="29"/>
      <c r="N1558" s="29"/>
      <c r="O1558" s="29"/>
      <c r="P1558" s="29"/>
      <c r="Q1558" s="29"/>
      <c r="R1558" s="29"/>
      <c r="S1558" s="29"/>
    </row>
    <row r="1559" spans="13:19" ht="16.5" customHeight="1" x14ac:dyDescent="0.2">
      <c r="M1559" s="29"/>
      <c r="N1559" s="29"/>
      <c r="O1559" s="29"/>
      <c r="P1559" s="29"/>
      <c r="Q1559" s="29"/>
      <c r="R1559" s="29"/>
      <c r="S1559" s="29"/>
    </row>
    <row r="1560" spans="13:19" ht="16.5" customHeight="1" x14ac:dyDescent="0.2">
      <c r="M1560" s="29"/>
      <c r="N1560" s="29"/>
      <c r="O1560" s="29"/>
      <c r="P1560" s="29"/>
      <c r="Q1560" s="29"/>
      <c r="R1560" s="29"/>
      <c r="S1560" s="29"/>
    </row>
    <row r="1561" spans="13:19" ht="16.5" customHeight="1" x14ac:dyDescent="0.2">
      <c r="M1561" s="29"/>
      <c r="N1561" s="29"/>
      <c r="O1561" s="29"/>
      <c r="P1561" s="29"/>
      <c r="Q1561" s="29"/>
      <c r="R1561" s="29"/>
      <c r="S1561" s="29"/>
    </row>
    <row r="1562" spans="13:19" ht="16.5" customHeight="1" x14ac:dyDescent="0.2">
      <c r="M1562" s="29"/>
      <c r="N1562" s="29"/>
      <c r="O1562" s="29"/>
      <c r="P1562" s="29"/>
      <c r="Q1562" s="29"/>
      <c r="R1562" s="29"/>
      <c r="S1562" s="29"/>
    </row>
    <row r="1563" spans="13:19" ht="16.5" customHeight="1" x14ac:dyDescent="0.2">
      <c r="M1563" s="29"/>
      <c r="N1563" s="29"/>
      <c r="O1563" s="29"/>
      <c r="P1563" s="29"/>
      <c r="Q1563" s="29"/>
      <c r="R1563" s="29"/>
      <c r="S1563" s="29"/>
    </row>
    <row r="1564" spans="13:19" ht="16.5" customHeight="1" x14ac:dyDescent="0.2">
      <c r="M1564" s="29"/>
      <c r="N1564" s="29"/>
      <c r="O1564" s="29"/>
      <c r="P1564" s="29"/>
      <c r="Q1564" s="29"/>
      <c r="R1564" s="29"/>
      <c r="S1564" s="29"/>
    </row>
    <row r="1565" spans="13:19" ht="16.5" customHeight="1" x14ac:dyDescent="0.2">
      <c r="M1565" s="29"/>
      <c r="N1565" s="29"/>
      <c r="O1565" s="29"/>
      <c r="P1565" s="29"/>
      <c r="Q1565" s="29"/>
      <c r="R1565" s="29"/>
      <c r="S1565" s="29"/>
    </row>
    <row r="1566" spans="13:19" ht="16.5" customHeight="1" x14ac:dyDescent="0.2">
      <c r="M1566" s="29"/>
      <c r="N1566" s="29"/>
      <c r="O1566" s="29"/>
      <c r="P1566" s="29"/>
      <c r="Q1566" s="29"/>
      <c r="R1566" s="29"/>
      <c r="S1566" s="29"/>
    </row>
    <row r="1567" spans="13:19" ht="16.5" customHeight="1" x14ac:dyDescent="0.2">
      <c r="M1567" s="29"/>
      <c r="N1567" s="29"/>
      <c r="O1567" s="29"/>
      <c r="P1567" s="29"/>
      <c r="Q1567" s="29"/>
      <c r="R1567" s="29"/>
      <c r="S1567" s="29"/>
    </row>
    <row r="1568" spans="13:19" ht="16.5" customHeight="1" x14ac:dyDescent="0.2">
      <c r="M1568" s="29"/>
      <c r="N1568" s="29"/>
      <c r="O1568" s="29"/>
      <c r="P1568" s="29"/>
      <c r="Q1568" s="29"/>
      <c r="R1568" s="29"/>
      <c r="S1568" s="29"/>
    </row>
    <row r="1569" spans="13:19" ht="16.5" customHeight="1" x14ac:dyDescent="0.2">
      <c r="M1569" s="29"/>
      <c r="N1569" s="29"/>
      <c r="O1569" s="29"/>
      <c r="P1569" s="29"/>
      <c r="Q1569" s="29"/>
      <c r="R1569" s="29"/>
      <c r="S1569" s="29"/>
    </row>
    <row r="1570" spans="13:19" ht="16.5" customHeight="1" x14ac:dyDescent="0.2">
      <c r="M1570" s="29"/>
      <c r="N1570" s="29"/>
      <c r="O1570" s="29"/>
      <c r="P1570" s="29"/>
      <c r="Q1570" s="29"/>
      <c r="R1570" s="29"/>
      <c r="S1570" s="29"/>
    </row>
    <row r="1571" spans="13:19" ht="16.5" customHeight="1" x14ac:dyDescent="0.2">
      <c r="M1571" s="29"/>
      <c r="N1571" s="29"/>
      <c r="O1571" s="29"/>
      <c r="P1571" s="29"/>
      <c r="Q1571" s="29"/>
      <c r="R1571" s="29"/>
      <c r="S1571" s="29"/>
    </row>
    <row r="1572" spans="13:19" ht="16.5" customHeight="1" x14ac:dyDescent="0.2">
      <c r="M1572" s="29"/>
      <c r="N1572" s="29"/>
      <c r="O1572" s="29"/>
      <c r="P1572" s="29"/>
      <c r="Q1572" s="29"/>
      <c r="R1572" s="29"/>
      <c r="S1572" s="29"/>
    </row>
    <row r="1573" spans="13:19" ht="16.5" customHeight="1" x14ac:dyDescent="0.2">
      <c r="M1573" s="29"/>
      <c r="N1573" s="29"/>
      <c r="O1573" s="29"/>
      <c r="P1573" s="29"/>
      <c r="Q1573" s="29"/>
      <c r="R1573" s="29"/>
      <c r="S1573" s="29"/>
    </row>
    <row r="1574" spans="13:19" ht="16.5" customHeight="1" x14ac:dyDescent="0.2">
      <c r="M1574" s="29"/>
      <c r="N1574" s="29"/>
      <c r="O1574" s="29"/>
      <c r="P1574" s="29"/>
      <c r="Q1574" s="29"/>
      <c r="R1574" s="29"/>
      <c r="S1574" s="29"/>
    </row>
    <row r="1575" spans="13:19" ht="16.5" customHeight="1" x14ac:dyDescent="0.2">
      <c r="M1575" s="29"/>
      <c r="N1575" s="29"/>
      <c r="O1575" s="29"/>
      <c r="P1575" s="29"/>
      <c r="Q1575" s="29"/>
      <c r="R1575" s="29"/>
      <c r="S1575" s="29"/>
    </row>
    <row r="1576" spans="13:19" ht="16.5" customHeight="1" x14ac:dyDescent="0.2">
      <c r="M1576" s="29"/>
      <c r="N1576" s="29"/>
      <c r="O1576" s="29"/>
      <c r="P1576" s="29"/>
      <c r="Q1576" s="29"/>
      <c r="R1576" s="29"/>
      <c r="S1576" s="29"/>
    </row>
    <row r="1577" spans="13:19" ht="16.5" customHeight="1" x14ac:dyDescent="0.2">
      <c r="M1577" s="29"/>
      <c r="N1577" s="29"/>
      <c r="O1577" s="29"/>
      <c r="P1577" s="29"/>
      <c r="Q1577" s="29"/>
      <c r="R1577" s="29"/>
      <c r="S1577" s="29"/>
    </row>
    <row r="1578" spans="13:19" ht="16.5" customHeight="1" x14ac:dyDescent="0.2">
      <c r="M1578" s="29"/>
      <c r="N1578" s="29"/>
      <c r="O1578" s="29"/>
      <c r="P1578" s="29"/>
      <c r="Q1578" s="29"/>
      <c r="R1578" s="29"/>
      <c r="S1578" s="29"/>
    </row>
    <row r="1579" spans="13:19" ht="16.5" customHeight="1" x14ac:dyDescent="0.2">
      <c r="M1579" s="29"/>
      <c r="N1579" s="29"/>
      <c r="O1579" s="29"/>
      <c r="P1579" s="29"/>
      <c r="Q1579" s="29"/>
      <c r="R1579" s="29"/>
      <c r="S1579" s="29"/>
    </row>
    <row r="1580" spans="13:19" ht="16.5" customHeight="1" x14ac:dyDescent="0.2">
      <c r="M1580" s="29"/>
      <c r="N1580" s="29"/>
      <c r="O1580" s="29"/>
      <c r="P1580" s="29"/>
      <c r="Q1580" s="29"/>
      <c r="R1580" s="29"/>
      <c r="S1580" s="29"/>
    </row>
    <row r="1581" spans="13:19" ht="16.5" customHeight="1" x14ac:dyDescent="0.2">
      <c r="M1581" s="29"/>
      <c r="N1581" s="29"/>
      <c r="O1581" s="29"/>
      <c r="P1581" s="29"/>
      <c r="Q1581" s="29"/>
      <c r="R1581" s="29"/>
      <c r="S1581" s="29"/>
    </row>
    <row r="1582" spans="13:19" ht="16.5" customHeight="1" x14ac:dyDescent="0.2">
      <c r="M1582" s="29"/>
      <c r="N1582" s="29"/>
      <c r="O1582" s="29"/>
      <c r="P1582" s="29"/>
      <c r="Q1582" s="29"/>
      <c r="R1582" s="29"/>
      <c r="S1582" s="29"/>
    </row>
    <row r="1583" spans="13:19" ht="16.5" customHeight="1" x14ac:dyDescent="0.2">
      <c r="M1583" s="29"/>
      <c r="N1583" s="29"/>
      <c r="O1583" s="29"/>
      <c r="P1583" s="29"/>
      <c r="Q1583" s="29"/>
      <c r="R1583" s="29"/>
      <c r="S1583" s="29"/>
    </row>
    <row r="1584" spans="13:19" ht="16.5" customHeight="1" x14ac:dyDescent="0.2">
      <c r="M1584" s="29"/>
      <c r="N1584" s="29"/>
      <c r="O1584" s="29"/>
      <c r="P1584" s="29"/>
      <c r="Q1584" s="29"/>
      <c r="R1584" s="29"/>
      <c r="S1584" s="29"/>
    </row>
    <row r="1585" spans="13:19" ht="16.5" customHeight="1" x14ac:dyDescent="0.2">
      <c r="M1585" s="29"/>
      <c r="N1585" s="29"/>
      <c r="O1585" s="29"/>
      <c r="P1585" s="29"/>
      <c r="Q1585" s="29"/>
      <c r="R1585" s="29"/>
      <c r="S1585" s="29"/>
    </row>
    <row r="1586" spans="13:19" ht="16.5" customHeight="1" x14ac:dyDescent="0.2">
      <c r="M1586" s="29"/>
      <c r="N1586" s="29"/>
      <c r="O1586" s="29"/>
      <c r="P1586" s="29"/>
      <c r="Q1586" s="29"/>
      <c r="R1586" s="29"/>
      <c r="S1586" s="29"/>
    </row>
    <row r="1587" spans="13:19" ht="16.5" customHeight="1" x14ac:dyDescent="0.2">
      <c r="M1587" s="29"/>
      <c r="N1587" s="29"/>
      <c r="O1587" s="29"/>
      <c r="P1587" s="29"/>
      <c r="Q1587" s="29"/>
      <c r="R1587" s="29"/>
      <c r="S1587" s="29"/>
    </row>
    <row r="1588" spans="13:19" ht="16.5" customHeight="1" x14ac:dyDescent="0.2">
      <c r="M1588" s="29"/>
      <c r="N1588" s="29"/>
      <c r="O1588" s="29"/>
      <c r="P1588" s="29"/>
      <c r="Q1588" s="29"/>
      <c r="R1588" s="29"/>
      <c r="S1588" s="29"/>
    </row>
    <row r="1589" spans="13:19" ht="16.5" customHeight="1" x14ac:dyDescent="0.2">
      <c r="M1589" s="29"/>
      <c r="N1589" s="29"/>
      <c r="O1589" s="29"/>
      <c r="P1589" s="29"/>
      <c r="Q1589" s="29"/>
      <c r="R1589" s="29"/>
      <c r="S1589" s="29"/>
    </row>
    <row r="1590" spans="13:19" ht="16.5" customHeight="1" x14ac:dyDescent="0.2">
      <c r="M1590" s="29"/>
      <c r="N1590" s="29"/>
      <c r="O1590" s="29"/>
      <c r="P1590" s="29"/>
      <c r="Q1590" s="29"/>
      <c r="R1590" s="29"/>
      <c r="S1590" s="29"/>
    </row>
    <row r="1591" spans="13:19" ht="16.5" customHeight="1" x14ac:dyDescent="0.2">
      <c r="M1591" s="29"/>
      <c r="N1591" s="29"/>
      <c r="O1591" s="29"/>
      <c r="P1591" s="29"/>
      <c r="Q1591" s="29"/>
      <c r="R1591" s="29"/>
      <c r="S1591" s="29"/>
    </row>
    <row r="1592" spans="13:19" ht="16.5" customHeight="1" x14ac:dyDescent="0.2">
      <c r="M1592" s="29"/>
      <c r="N1592" s="29"/>
      <c r="O1592" s="29"/>
      <c r="P1592" s="29"/>
      <c r="Q1592" s="29"/>
      <c r="R1592" s="29"/>
      <c r="S1592" s="29"/>
    </row>
    <row r="1593" spans="13:19" ht="16.5" customHeight="1" x14ac:dyDescent="0.2">
      <c r="M1593" s="29"/>
      <c r="N1593" s="29"/>
      <c r="O1593" s="29"/>
      <c r="P1593" s="29"/>
      <c r="Q1593" s="29"/>
      <c r="R1593" s="29"/>
      <c r="S1593" s="29"/>
    </row>
    <row r="1594" spans="13:19" ht="16.5" customHeight="1" x14ac:dyDescent="0.2">
      <c r="M1594" s="29"/>
      <c r="N1594" s="29"/>
      <c r="O1594" s="29"/>
      <c r="P1594" s="29"/>
      <c r="Q1594" s="29"/>
      <c r="R1594" s="29"/>
      <c r="S1594" s="29"/>
    </row>
    <row r="1595" spans="13:19" ht="16.5" customHeight="1" x14ac:dyDescent="0.2">
      <c r="M1595" s="29"/>
      <c r="N1595" s="29"/>
      <c r="O1595" s="29"/>
      <c r="P1595" s="29"/>
      <c r="Q1595" s="29"/>
      <c r="R1595" s="29"/>
      <c r="S1595" s="29"/>
    </row>
    <row r="1596" spans="13:19" ht="16.5" customHeight="1" x14ac:dyDescent="0.2">
      <c r="M1596" s="29"/>
      <c r="N1596" s="29"/>
      <c r="O1596" s="29"/>
      <c r="P1596" s="29"/>
      <c r="Q1596" s="29"/>
      <c r="R1596" s="29"/>
      <c r="S1596" s="29"/>
    </row>
    <row r="1597" spans="13:19" ht="16.5" customHeight="1" x14ac:dyDescent="0.2">
      <c r="M1597" s="29"/>
      <c r="N1597" s="29"/>
      <c r="O1597" s="29"/>
      <c r="P1597" s="29"/>
      <c r="Q1597" s="29"/>
      <c r="R1597" s="29"/>
      <c r="S1597" s="29"/>
    </row>
    <row r="1598" spans="13:19" ht="16.5" customHeight="1" x14ac:dyDescent="0.2">
      <c r="M1598" s="29"/>
      <c r="N1598" s="29"/>
      <c r="O1598" s="29"/>
      <c r="P1598" s="29"/>
      <c r="Q1598" s="29"/>
      <c r="R1598" s="29"/>
      <c r="S1598" s="29"/>
    </row>
    <row r="1599" spans="13:19" ht="16.5" customHeight="1" x14ac:dyDescent="0.2">
      <c r="M1599" s="29"/>
      <c r="N1599" s="29"/>
      <c r="O1599" s="29"/>
      <c r="P1599" s="29"/>
      <c r="Q1599" s="29"/>
      <c r="R1599" s="29"/>
      <c r="S1599" s="29"/>
    </row>
    <row r="1600" spans="13:19" ht="16.5" customHeight="1" x14ac:dyDescent="0.2">
      <c r="M1600" s="29"/>
      <c r="N1600" s="29"/>
      <c r="O1600" s="29"/>
      <c r="P1600" s="29"/>
      <c r="Q1600" s="29"/>
      <c r="R1600" s="29"/>
      <c r="S1600" s="29"/>
    </row>
    <row r="1601" spans="13:19" ht="16.5" customHeight="1" x14ac:dyDescent="0.2">
      <c r="M1601" s="29"/>
      <c r="N1601" s="29"/>
      <c r="O1601" s="29"/>
      <c r="P1601" s="29"/>
      <c r="Q1601" s="29"/>
      <c r="R1601" s="29"/>
      <c r="S1601" s="29"/>
    </row>
    <row r="1602" spans="13:19" ht="16.5" customHeight="1" x14ac:dyDescent="0.2">
      <c r="M1602" s="29"/>
      <c r="N1602" s="29"/>
      <c r="O1602" s="29"/>
      <c r="P1602" s="29"/>
      <c r="Q1602" s="29"/>
      <c r="R1602" s="29"/>
      <c r="S1602" s="29"/>
    </row>
    <row r="1603" spans="13:19" ht="16.5" customHeight="1" x14ac:dyDescent="0.2">
      <c r="M1603" s="29"/>
      <c r="N1603" s="29"/>
      <c r="O1603" s="29"/>
      <c r="P1603" s="29"/>
      <c r="Q1603" s="29"/>
      <c r="R1603" s="29"/>
      <c r="S1603" s="29"/>
    </row>
    <row r="1604" spans="13:19" ht="16.5" customHeight="1" x14ac:dyDescent="0.2">
      <c r="M1604" s="29"/>
      <c r="N1604" s="29"/>
      <c r="O1604" s="29"/>
      <c r="P1604" s="29"/>
      <c r="Q1604" s="29"/>
      <c r="R1604" s="29"/>
      <c r="S1604" s="29"/>
    </row>
    <row r="1605" spans="13:19" ht="16.5" customHeight="1" x14ac:dyDescent="0.2">
      <c r="M1605" s="29"/>
      <c r="N1605" s="29"/>
      <c r="O1605" s="29"/>
      <c r="P1605" s="29"/>
      <c r="Q1605" s="29"/>
      <c r="R1605" s="29"/>
      <c r="S1605" s="29"/>
    </row>
    <row r="1606" spans="13:19" ht="16.5" customHeight="1" x14ac:dyDescent="0.2">
      <c r="M1606" s="29"/>
      <c r="N1606" s="29"/>
      <c r="O1606" s="29"/>
      <c r="P1606" s="29"/>
      <c r="Q1606" s="29"/>
      <c r="R1606" s="29"/>
      <c r="S1606" s="29"/>
    </row>
    <row r="1607" spans="13:19" ht="16.5" customHeight="1" x14ac:dyDescent="0.2">
      <c r="M1607" s="29"/>
      <c r="N1607" s="29"/>
      <c r="O1607" s="29"/>
      <c r="P1607" s="29"/>
      <c r="Q1607" s="29"/>
      <c r="R1607" s="29"/>
      <c r="S1607" s="29"/>
    </row>
    <row r="1608" spans="13:19" ht="16.5" customHeight="1" x14ac:dyDescent="0.2">
      <c r="M1608" s="29"/>
      <c r="N1608" s="29"/>
      <c r="O1608" s="29"/>
      <c r="P1608" s="29"/>
      <c r="Q1608" s="29"/>
      <c r="R1608" s="29"/>
      <c r="S1608" s="29"/>
    </row>
    <row r="1609" spans="13:19" ht="16.5" customHeight="1" x14ac:dyDescent="0.2">
      <c r="M1609" s="29"/>
      <c r="N1609" s="29"/>
      <c r="O1609" s="29"/>
      <c r="P1609" s="29"/>
      <c r="Q1609" s="29"/>
      <c r="R1609" s="29"/>
      <c r="S1609" s="29"/>
    </row>
    <row r="1610" spans="13:19" ht="16.5" customHeight="1" x14ac:dyDescent="0.2">
      <c r="M1610" s="29"/>
      <c r="N1610" s="29"/>
      <c r="O1610" s="29"/>
      <c r="P1610" s="29"/>
      <c r="Q1610" s="29"/>
      <c r="R1610" s="29"/>
      <c r="S1610" s="29"/>
    </row>
    <row r="1611" spans="13:19" ht="16.5" customHeight="1" x14ac:dyDescent="0.2">
      <c r="M1611" s="29"/>
      <c r="N1611" s="29"/>
      <c r="O1611" s="29"/>
      <c r="P1611" s="29"/>
      <c r="Q1611" s="29"/>
      <c r="R1611" s="29"/>
      <c r="S1611" s="29"/>
    </row>
    <row r="1612" spans="13:19" ht="16.5" customHeight="1" x14ac:dyDescent="0.2">
      <c r="M1612" s="29"/>
      <c r="N1612" s="29"/>
      <c r="O1612" s="29"/>
      <c r="P1612" s="29"/>
      <c r="Q1612" s="29"/>
      <c r="R1612" s="29"/>
      <c r="S1612" s="29"/>
    </row>
    <row r="1613" spans="13:19" ht="16.5" customHeight="1" x14ac:dyDescent="0.2">
      <c r="M1613" s="29"/>
      <c r="N1613" s="29"/>
      <c r="O1613" s="29"/>
      <c r="P1613" s="29"/>
      <c r="Q1613" s="29"/>
      <c r="R1613" s="29"/>
      <c r="S1613" s="29"/>
    </row>
    <row r="1614" spans="13:19" ht="16.5" customHeight="1" x14ac:dyDescent="0.2">
      <c r="M1614" s="29"/>
      <c r="N1614" s="29"/>
      <c r="O1614" s="29"/>
      <c r="P1614" s="29"/>
      <c r="Q1614" s="29"/>
      <c r="R1614" s="29"/>
      <c r="S1614" s="29"/>
    </row>
    <row r="1615" spans="13:19" ht="16.5" customHeight="1" x14ac:dyDescent="0.2">
      <c r="M1615" s="29"/>
      <c r="N1615" s="29"/>
      <c r="O1615" s="29"/>
      <c r="P1615" s="29"/>
      <c r="Q1615" s="29"/>
      <c r="R1615" s="29"/>
      <c r="S1615" s="29"/>
    </row>
    <row r="1616" spans="13:19" ht="16.5" customHeight="1" x14ac:dyDescent="0.2">
      <c r="M1616" s="29"/>
      <c r="N1616" s="29"/>
      <c r="O1616" s="29"/>
      <c r="P1616" s="29"/>
      <c r="Q1616" s="29"/>
      <c r="R1616" s="29"/>
      <c r="S1616" s="29"/>
    </row>
    <row r="1617" spans="13:19" ht="16.5" customHeight="1" x14ac:dyDescent="0.2">
      <c r="M1617" s="29"/>
      <c r="N1617" s="29"/>
      <c r="O1617" s="29"/>
      <c r="P1617" s="29"/>
      <c r="Q1617" s="29"/>
      <c r="R1617" s="29"/>
      <c r="S1617" s="29"/>
    </row>
    <row r="1618" spans="13:19" ht="16.5" customHeight="1" x14ac:dyDescent="0.2">
      <c r="M1618" s="29"/>
      <c r="N1618" s="29"/>
      <c r="O1618" s="29"/>
      <c r="P1618" s="29"/>
      <c r="Q1618" s="29"/>
      <c r="R1618" s="29"/>
      <c r="S1618" s="29"/>
    </row>
    <row r="1619" spans="13:19" ht="16.5" customHeight="1" x14ac:dyDescent="0.2">
      <c r="M1619" s="29"/>
      <c r="N1619" s="29"/>
      <c r="O1619" s="29"/>
      <c r="P1619" s="29"/>
      <c r="Q1619" s="29"/>
      <c r="R1619" s="29"/>
      <c r="S1619" s="29"/>
    </row>
    <row r="1620" spans="13:19" ht="16.5" customHeight="1" x14ac:dyDescent="0.2">
      <c r="M1620" s="29"/>
      <c r="N1620" s="29"/>
      <c r="O1620" s="29"/>
      <c r="P1620" s="29"/>
      <c r="Q1620" s="29"/>
      <c r="R1620" s="29"/>
      <c r="S1620" s="29"/>
    </row>
    <row r="1621" spans="13:19" ht="16.5" customHeight="1" x14ac:dyDescent="0.2">
      <c r="M1621" s="29"/>
      <c r="N1621" s="29"/>
      <c r="O1621" s="29"/>
      <c r="P1621" s="29"/>
      <c r="Q1621" s="29"/>
      <c r="R1621" s="29"/>
      <c r="S1621" s="29"/>
    </row>
    <row r="1622" spans="13:19" ht="16.5" customHeight="1" x14ac:dyDescent="0.2">
      <c r="M1622" s="29"/>
      <c r="N1622" s="29"/>
      <c r="O1622" s="29"/>
      <c r="P1622" s="29"/>
      <c r="Q1622" s="29"/>
      <c r="R1622" s="29"/>
      <c r="S1622" s="29"/>
    </row>
    <row r="1623" spans="13:19" ht="16.5" customHeight="1" x14ac:dyDescent="0.2">
      <c r="M1623" s="29"/>
      <c r="N1623" s="29"/>
      <c r="O1623" s="29"/>
      <c r="P1623" s="29"/>
      <c r="Q1623" s="29"/>
      <c r="R1623" s="29"/>
      <c r="S1623" s="29"/>
    </row>
    <row r="1624" spans="13:19" ht="16.5" customHeight="1" x14ac:dyDescent="0.2">
      <c r="M1624" s="29"/>
      <c r="N1624" s="29"/>
      <c r="O1624" s="29"/>
      <c r="P1624" s="29"/>
      <c r="Q1624" s="29"/>
      <c r="R1624" s="29"/>
      <c r="S1624" s="29"/>
    </row>
    <row r="1625" spans="13:19" ht="16.5" customHeight="1" x14ac:dyDescent="0.2">
      <c r="M1625" s="29"/>
      <c r="N1625" s="29"/>
      <c r="O1625" s="29"/>
      <c r="P1625" s="29"/>
      <c r="Q1625" s="29"/>
      <c r="R1625" s="29"/>
      <c r="S1625" s="29"/>
    </row>
    <row r="1626" spans="13:19" ht="16.5" customHeight="1" x14ac:dyDescent="0.2">
      <c r="M1626" s="29"/>
      <c r="N1626" s="29"/>
      <c r="O1626" s="29"/>
      <c r="P1626" s="29"/>
      <c r="Q1626" s="29"/>
      <c r="R1626" s="29"/>
      <c r="S1626" s="29"/>
    </row>
    <row r="1627" spans="13:19" ht="16.5" customHeight="1" x14ac:dyDescent="0.2">
      <c r="M1627" s="29"/>
      <c r="N1627" s="29"/>
      <c r="O1627" s="29"/>
      <c r="P1627" s="29"/>
      <c r="Q1627" s="29"/>
      <c r="R1627" s="29"/>
      <c r="S1627" s="29"/>
    </row>
    <row r="1628" spans="13:19" ht="16.5" customHeight="1" x14ac:dyDescent="0.2">
      <c r="M1628" s="29"/>
      <c r="N1628" s="29"/>
      <c r="O1628" s="29"/>
      <c r="P1628" s="29"/>
      <c r="Q1628" s="29"/>
      <c r="R1628" s="29"/>
      <c r="S1628" s="29"/>
    </row>
    <row r="1629" spans="13:19" ht="16.5" customHeight="1" x14ac:dyDescent="0.2">
      <c r="M1629" s="29"/>
      <c r="N1629" s="29"/>
      <c r="O1629" s="29"/>
      <c r="P1629" s="29"/>
      <c r="Q1629" s="29"/>
      <c r="R1629" s="29"/>
      <c r="S1629" s="29"/>
    </row>
    <row r="1630" spans="13:19" ht="16.5" customHeight="1" x14ac:dyDescent="0.2">
      <c r="M1630" s="29"/>
      <c r="N1630" s="29"/>
      <c r="O1630" s="29"/>
      <c r="P1630" s="29"/>
      <c r="Q1630" s="29"/>
      <c r="R1630" s="29"/>
      <c r="S1630" s="29"/>
    </row>
    <row r="1631" spans="13:19" ht="16.5" customHeight="1" x14ac:dyDescent="0.2">
      <c r="M1631" s="29"/>
      <c r="N1631" s="29"/>
      <c r="O1631" s="29"/>
      <c r="P1631" s="29"/>
      <c r="Q1631" s="29"/>
      <c r="R1631" s="29"/>
      <c r="S1631" s="29"/>
    </row>
    <row r="1632" spans="13:19" ht="16.5" customHeight="1" x14ac:dyDescent="0.2">
      <c r="M1632" s="29"/>
      <c r="N1632" s="29"/>
      <c r="O1632" s="29"/>
      <c r="P1632" s="29"/>
      <c r="Q1632" s="29"/>
      <c r="R1632" s="29"/>
      <c r="S1632" s="29"/>
    </row>
    <row r="1633" spans="13:19" ht="16.5" customHeight="1" x14ac:dyDescent="0.2">
      <c r="M1633" s="29"/>
      <c r="N1633" s="29"/>
      <c r="O1633" s="29"/>
      <c r="P1633" s="29"/>
      <c r="Q1633" s="29"/>
      <c r="R1633" s="29"/>
      <c r="S1633" s="29"/>
    </row>
    <row r="1634" spans="13:19" ht="16.5" customHeight="1" x14ac:dyDescent="0.2">
      <c r="M1634" s="29"/>
      <c r="N1634" s="29"/>
      <c r="O1634" s="29"/>
      <c r="P1634" s="29"/>
      <c r="Q1634" s="29"/>
      <c r="R1634" s="29"/>
      <c r="S1634" s="29"/>
    </row>
    <row r="1635" spans="13:19" ht="16.5" customHeight="1" x14ac:dyDescent="0.2">
      <c r="M1635" s="29"/>
      <c r="N1635" s="29"/>
      <c r="O1635" s="29"/>
      <c r="P1635" s="29"/>
      <c r="Q1635" s="29"/>
      <c r="R1635" s="29"/>
      <c r="S1635" s="29"/>
    </row>
    <row r="1636" spans="13:19" ht="16.5" customHeight="1" x14ac:dyDescent="0.2">
      <c r="M1636" s="29"/>
      <c r="N1636" s="29"/>
      <c r="O1636" s="29"/>
      <c r="P1636" s="29"/>
      <c r="Q1636" s="29"/>
      <c r="R1636" s="29"/>
      <c r="S1636" s="29"/>
    </row>
    <row r="1637" spans="13:19" ht="16.5" customHeight="1" x14ac:dyDescent="0.2">
      <c r="M1637" s="29"/>
      <c r="N1637" s="29"/>
      <c r="O1637" s="29"/>
      <c r="P1637" s="29"/>
      <c r="Q1637" s="29"/>
      <c r="R1637" s="29"/>
      <c r="S1637" s="29"/>
    </row>
    <row r="1638" spans="13:19" ht="16.5" customHeight="1" x14ac:dyDescent="0.2">
      <c r="M1638" s="29"/>
      <c r="N1638" s="29"/>
      <c r="O1638" s="29"/>
      <c r="P1638" s="29"/>
      <c r="Q1638" s="29"/>
      <c r="R1638" s="29"/>
      <c r="S1638" s="29"/>
    </row>
    <row r="1639" spans="13:19" ht="16.5" customHeight="1" x14ac:dyDescent="0.2">
      <c r="M1639" s="29"/>
      <c r="N1639" s="29"/>
      <c r="O1639" s="29"/>
      <c r="P1639" s="29"/>
      <c r="Q1639" s="29"/>
      <c r="R1639" s="29"/>
      <c r="S1639" s="29"/>
    </row>
    <row r="1640" spans="13:19" ht="16.5" customHeight="1" x14ac:dyDescent="0.2">
      <c r="M1640" s="29"/>
      <c r="N1640" s="29"/>
      <c r="O1640" s="29"/>
      <c r="P1640" s="29"/>
      <c r="Q1640" s="29"/>
      <c r="R1640" s="29"/>
      <c r="S1640" s="29"/>
    </row>
    <row r="1641" spans="13:19" ht="16.5" customHeight="1" x14ac:dyDescent="0.2">
      <c r="M1641" s="29"/>
      <c r="N1641" s="29"/>
      <c r="O1641" s="29"/>
      <c r="P1641" s="29"/>
      <c r="Q1641" s="29"/>
      <c r="R1641" s="29"/>
      <c r="S1641" s="29"/>
    </row>
    <row r="1642" spans="13:19" ht="16.5" customHeight="1" x14ac:dyDescent="0.2">
      <c r="M1642" s="29"/>
      <c r="N1642" s="29"/>
      <c r="O1642" s="29"/>
      <c r="P1642" s="29"/>
      <c r="Q1642" s="29"/>
      <c r="R1642" s="29"/>
      <c r="S1642" s="29"/>
    </row>
    <row r="1643" spans="13:19" ht="16.5" customHeight="1" x14ac:dyDescent="0.2">
      <c r="M1643" s="29"/>
      <c r="N1643" s="29"/>
      <c r="O1643" s="29"/>
      <c r="P1643" s="29"/>
      <c r="Q1643" s="29"/>
      <c r="R1643" s="29"/>
      <c r="S1643" s="29"/>
    </row>
    <row r="1644" spans="13:19" ht="16.5" customHeight="1" x14ac:dyDescent="0.2">
      <c r="M1644" s="29"/>
      <c r="N1644" s="29"/>
      <c r="O1644" s="29"/>
      <c r="P1644" s="29"/>
      <c r="Q1644" s="29"/>
      <c r="R1644" s="29"/>
      <c r="S1644" s="29"/>
    </row>
    <row r="1645" spans="13:19" ht="16.5" customHeight="1" x14ac:dyDescent="0.2">
      <c r="M1645" s="29"/>
      <c r="N1645" s="29"/>
      <c r="O1645" s="29"/>
      <c r="P1645" s="29"/>
      <c r="Q1645" s="29"/>
      <c r="R1645" s="29"/>
      <c r="S1645" s="29"/>
    </row>
    <row r="1646" spans="13:19" ht="16.5" customHeight="1" x14ac:dyDescent="0.2">
      <c r="M1646" s="29"/>
      <c r="N1646" s="29"/>
      <c r="O1646" s="29"/>
      <c r="P1646" s="29"/>
      <c r="Q1646" s="29"/>
      <c r="R1646" s="29"/>
      <c r="S1646" s="29"/>
    </row>
    <row r="1647" spans="13:19" ht="16.5" customHeight="1" x14ac:dyDescent="0.2">
      <c r="M1647" s="29"/>
      <c r="N1647" s="29"/>
      <c r="O1647" s="29"/>
      <c r="P1647" s="29"/>
      <c r="Q1647" s="29"/>
      <c r="R1647" s="29"/>
      <c r="S1647" s="29"/>
    </row>
    <row r="1648" spans="13:19" ht="16.5" customHeight="1" x14ac:dyDescent="0.2">
      <c r="M1648" s="29"/>
      <c r="N1648" s="29"/>
      <c r="O1648" s="29"/>
      <c r="P1648" s="29"/>
      <c r="Q1648" s="29"/>
      <c r="R1648" s="29"/>
      <c r="S1648" s="29"/>
    </row>
    <row r="1649" spans="13:19" ht="16.5" customHeight="1" x14ac:dyDescent="0.2">
      <c r="M1649" s="29"/>
      <c r="N1649" s="29"/>
      <c r="O1649" s="29"/>
      <c r="P1649" s="29"/>
      <c r="Q1649" s="29"/>
      <c r="R1649" s="29"/>
      <c r="S1649" s="29"/>
    </row>
    <row r="1650" spans="13:19" ht="16.5" customHeight="1" x14ac:dyDescent="0.2">
      <c r="M1650" s="29"/>
      <c r="N1650" s="29"/>
      <c r="O1650" s="29"/>
      <c r="P1650" s="29"/>
      <c r="Q1650" s="29"/>
      <c r="R1650" s="29"/>
      <c r="S1650" s="29"/>
    </row>
    <row r="1651" spans="13:19" ht="16.5" customHeight="1" x14ac:dyDescent="0.2">
      <c r="M1651" s="29"/>
      <c r="N1651" s="29"/>
      <c r="O1651" s="29"/>
      <c r="P1651" s="29"/>
      <c r="Q1651" s="29"/>
      <c r="R1651" s="29"/>
      <c r="S1651" s="29"/>
    </row>
    <row r="1652" spans="13:19" ht="16.5" customHeight="1" x14ac:dyDescent="0.2">
      <c r="M1652" s="29"/>
      <c r="N1652" s="29"/>
      <c r="O1652" s="29"/>
      <c r="P1652" s="29"/>
      <c r="Q1652" s="29"/>
      <c r="R1652" s="29"/>
      <c r="S1652" s="29"/>
    </row>
    <row r="1653" spans="13:19" ht="16.5" customHeight="1" x14ac:dyDescent="0.2">
      <c r="M1653" s="29"/>
      <c r="N1653" s="29"/>
      <c r="O1653" s="29"/>
      <c r="P1653" s="29"/>
      <c r="Q1653" s="29"/>
      <c r="R1653" s="29"/>
      <c r="S1653" s="29"/>
    </row>
    <row r="1654" spans="13:19" ht="16.5" customHeight="1" x14ac:dyDescent="0.2">
      <c r="M1654" s="29"/>
      <c r="N1654" s="29"/>
      <c r="O1654" s="29"/>
      <c r="P1654" s="29"/>
      <c r="Q1654" s="29"/>
      <c r="R1654" s="29"/>
      <c r="S1654" s="29"/>
    </row>
    <row r="1655" spans="13:19" ht="16.5" customHeight="1" x14ac:dyDescent="0.2">
      <c r="M1655" s="29"/>
      <c r="N1655" s="29"/>
      <c r="O1655" s="29"/>
      <c r="P1655" s="29"/>
      <c r="Q1655" s="29"/>
      <c r="R1655" s="29"/>
      <c r="S1655" s="29"/>
    </row>
    <row r="1656" spans="13:19" ht="16.5" customHeight="1" x14ac:dyDescent="0.2">
      <c r="M1656" s="29"/>
      <c r="N1656" s="29"/>
      <c r="O1656" s="29"/>
      <c r="P1656" s="29"/>
      <c r="Q1656" s="29"/>
      <c r="R1656" s="29"/>
      <c r="S1656" s="29"/>
    </row>
    <row r="1657" spans="13:19" ht="16.5" customHeight="1" x14ac:dyDescent="0.2">
      <c r="M1657" s="29"/>
      <c r="N1657" s="29"/>
      <c r="O1657" s="29"/>
      <c r="P1657" s="29"/>
      <c r="Q1657" s="29"/>
      <c r="R1657" s="29"/>
      <c r="S1657" s="29"/>
    </row>
    <row r="1658" spans="13:19" ht="16.5" customHeight="1" x14ac:dyDescent="0.2">
      <c r="M1658" s="29"/>
      <c r="N1658" s="29"/>
      <c r="O1658" s="29"/>
      <c r="P1658" s="29"/>
      <c r="Q1658" s="29"/>
      <c r="R1658" s="29"/>
      <c r="S1658" s="29"/>
    </row>
    <row r="1659" spans="13:19" ht="16.5" customHeight="1" x14ac:dyDescent="0.2">
      <c r="M1659" s="29"/>
      <c r="N1659" s="29"/>
      <c r="O1659" s="29"/>
      <c r="P1659" s="29"/>
      <c r="Q1659" s="29"/>
      <c r="R1659" s="29"/>
      <c r="S1659" s="29"/>
    </row>
    <row r="1660" spans="13:19" ht="16.5" customHeight="1" x14ac:dyDescent="0.2">
      <c r="M1660" s="29"/>
      <c r="N1660" s="29"/>
      <c r="O1660" s="29"/>
      <c r="P1660" s="29"/>
      <c r="Q1660" s="29"/>
      <c r="R1660" s="29"/>
      <c r="S1660" s="29"/>
    </row>
    <row r="1661" spans="13:19" ht="16.5" customHeight="1" x14ac:dyDescent="0.2">
      <c r="M1661" s="29"/>
      <c r="N1661" s="29"/>
      <c r="O1661" s="29"/>
      <c r="P1661" s="29"/>
      <c r="Q1661" s="29"/>
      <c r="R1661" s="29"/>
      <c r="S1661" s="29"/>
    </row>
    <row r="1662" spans="13:19" ht="16.5" customHeight="1" x14ac:dyDescent="0.2">
      <c r="M1662" s="29"/>
      <c r="N1662" s="29"/>
      <c r="O1662" s="29"/>
      <c r="P1662" s="29"/>
      <c r="Q1662" s="29"/>
      <c r="R1662" s="29"/>
      <c r="S1662" s="29"/>
    </row>
    <row r="1663" spans="13:19" ht="16.5" customHeight="1" x14ac:dyDescent="0.2">
      <c r="M1663" s="29"/>
      <c r="N1663" s="29"/>
      <c r="O1663" s="29"/>
      <c r="P1663" s="29"/>
      <c r="Q1663" s="29"/>
      <c r="R1663" s="29"/>
      <c r="S1663" s="29"/>
    </row>
    <row r="1664" spans="13:19" ht="16.5" customHeight="1" x14ac:dyDescent="0.2">
      <c r="M1664" s="29"/>
      <c r="N1664" s="29"/>
      <c r="O1664" s="29"/>
      <c r="P1664" s="29"/>
      <c r="Q1664" s="29"/>
      <c r="R1664" s="29"/>
      <c r="S1664" s="29"/>
    </row>
    <row r="1665" spans="13:19" ht="16.5" customHeight="1" x14ac:dyDescent="0.2">
      <c r="M1665" s="29"/>
      <c r="N1665" s="29"/>
      <c r="O1665" s="29"/>
      <c r="P1665" s="29"/>
      <c r="Q1665" s="29"/>
      <c r="R1665" s="29"/>
      <c r="S1665" s="29"/>
    </row>
    <row r="1666" spans="13:19" ht="16.5" customHeight="1" x14ac:dyDescent="0.2">
      <c r="M1666" s="29"/>
      <c r="N1666" s="29"/>
      <c r="O1666" s="29"/>
      <c r="P1666" s="29"/>
      <c r="Q1666" s="29"/>
      <c r="R1666" s="29"/>
      <c r="S1666" s="29"/>
    </row>
    <row r="1667" spans="13:19" ht="16.5" customHeight="1" x14ac:dyDescent="0.2">
      <c r="M1667" s="29"/>
      <c r="N1667" s="29"/>
      <c r="O1667" s="29"/>
      <c r="P1667" s="29"/>
      <c r="Q1667" s="29"/>
      <c r="R1667" s="29"/>
      <c r="S1667" s="29"/>
    </row>
    <row r="1668" spans="13:19" ht="16.5" customHeight="1" x14ac:dyDescent="0.2">
      <c r="M1668" s="29"/>
      <c r="N1668" s="29"/>
      <c r="O1668" s="29"/>
      <c r="P1668" s="29"/>
      <c r="Q1668" s="29"/>
      <c r="R1668" s="29"/>
      <c r="S1668" s="29"/>
    </row>
    <row r="1669" spans="13:19" ht="16.5" customHeight="1" x14ac:dyDescent="0.2">
      <c r="M1669" s="29"/>
      <c r="N1669" s="29"/>
      <c r="O1669" s="29"/>
      <c r="P1669" s="29"/>
      <c r="Q1669" s="29"/>
      <c r="R1669" s="29"/>
      <c r="S1669" s="29"/>
    </row>
    <row r="1670" spans="13:19" ht="16.5" customHeight="1" x14ac:dyDescent="0.2">
      <c r="M1670" s="29"/>
      <c r="N1670" s="29"/>
      <c r="O1670" s="29"/>
      <c r="P1670" s="29"/>
      <c r="Q1670" s="29"/>
      <c r="R1670" s="29"/>
      <c r="S1670" s="29"/>
    </row>
    <row r="1671" spans="13:19" ht="16.5" customHeight="1" x14ac:dyDescent="0.2">
      <c r="M1671" s="29"/>
      <c r="N1671" s="29"/>
      <c r="O1671" s="29"/>
      <c r="P1671" s="29"/>
      <c r="Q1671" s="29"/>
      <c r="R1671" s="29"/>
      <c r="S1671" s="29"/>
    </row>
    <row r="1672" spans="13:19" ht="16.5" customHeight="1" x14ac:dyDescent="0.2">
      <c r="M1672" s="29"/>
      <c r="N1672" s="29"/>
      <c r="O1672" s="29"/>
      <c r="P1672" s="29"/>
      <c r="Q1672" s="29"/>
      <c r="R1672" s="29"/>
      <c r="S1672" s="29"/>
    </row>
    <row r="1673" spans="13:19" ht="16.5" customHeight="1" x14ac:dyDescent="0.2">
      <c r="M1673" s="29"/>
      <c r="N1673" s="29"/>
      <c r="O1673" s="29"/>
      <c r="P1673" s="29"/>
      <c r="Q1673" s="29"/>
      <c r="R1673" s="29"/>
      <c r="S1673" s="29"/>
    </row>
    <row r="1674" spans="13:19" ht="16.5" customHeight="1" x14ac:dyDescent="0.2">
      <c r="M1674" s="29"/>
      <c r="N1674" s="29"/>
      <c r="O1674" s="29"/>
      <c r="P1674" s="29"/>
      <c r="Q1674" s="29"/>
      <c r="R1674" s="29"/>
      <c r="S1674" s="29"/>
    </row>
    <row r="1675" spans="13:19" ht="16.5" customHeight="1" x14ac:dyDescent="0.2">
      <c r="M1675" s="29"/>
      <c r="N1675" s="29"/>
      <c r="O1675" s="29"/>
      <c r="P1675" s="29"/>
      <c r="Q1675" s="29"/>
      <c r="R1675" s="29"/>
      <c r="S1675" s="29"/>
    </row>
    <row r="1676" spans="13:19" ht="16.5" customHeight="1" x14ac:dyDescent="0.2">
      <c r="M1676" s="29"/>
      <c r="N1676" s="29"/>
      <c r="O1676" s="29"/>
      <c r="P1676" s="29"/>
      <c r="Q1676" s="29"/>
      <c r="R1676" s="29"/>
      <c r="S1676" s="29"/>
    </row>
    <row r="1677" spans="13:19" ht="16.5" customHeight="1" x14ac:dyDescent="0.2">
      <c r="M1677" s="29"/>
      <c r="N1677" s="29"/>
      <c r="O1677" s="29"/>
      <c r="P1677" s="29"/>
      <c r="Q1677" s="29"/>
      <c r="R1677" s="29"/>
      <c r="S1677" s="29"/>
    </row>
    <row r="1678" spans="13:19" ht="16.5" customHeight="1" x14ac:dyDescent="0.2">
      <c r="M1678" s="29"/>
      <c r="N1678" s="29"/>
      <c r="O1678" s="29"/>
      <c r="P1678" s="29"/>
      <c r="Q1678" s="29"/>
      <c r="R1678" s="29"/>
      <c r="S1678" s="29"/>
    </row>
    <row r="1679" spans="13:19" ht="16.5" customHeight="1" x14ac:dyDescent="0.2">
      <c r="M1679" s="29"/>
      <c r="N1679" s="29"/>
      <c r="O1679" s="29"/>
      <c r="P1679" s="29"/>
      <c r="Q1679" s="29"/>
      <c r="R1679" s="29"/>
      <c r="S1679" s="29"/>
    </row>
    <row r="1680" spans="13:19" ht="16.5" customHeight="1" x14ac:dyDescent="0.2">
      <c r="M1680" s="29"/>
      <c r="N1680" s="29"/>
      <c r="O1680" s="29"/>
      <c r="P1680" s="29"/>
      <c r="Q1680" s="29"/>
      <c r="R1680" s="29"/>
      <c r="S1680" s="29"/>
    </row>
    <row r="1681" spans="13:19" ht="16.5" customHeight="1" x14ac:dyDescent="0.2">
      <c r="M1681" s="29"/>
      <c r="N1681" s="29"/>
      <c r="O1681" s="29"/>
      <c r="P1681" s="29"/>
      <c r="Q1681" s="29"/>
      <c r="R1681" s="29"/>
      <c r="S1681" s="29"/>
    </row>
    <row r="1682" spans="13:19" ht="16.5" customHeight="1" x14ac:dyDescent="0.2">
      <c r="M1682" s="29"/>
      <c r="N1682" s="29"/>
      <c r="O1682" s="29"/>
      <c r="P1682" s="29"/>
      <c r="Q1682" s="29"/>
      <c r="R1682" s="29"/>
      <c r="S1682" s="29"/>
    </row>
    <row r="1683" spans="13:19" ht="16.5" customHeight="1" x14ac:dyDescent="0.2">
      <c r="M1683" s="29"/>
      <c r="N1683" s="29"/>
      <c r="O1683" s="29"/>
      <c r="P1683" s="29"/>
      <c r="Q1683" s="29"/>
      <c r="R1683" s="29"/>
      <c r="S1683" s="29"/>
    </row>
    <row r="1684" spans="13:19" ht="16.5" customHeight="1" x14ac:dyDescent="0.2">
      <c r="M1684" s="29"/>
      <c r="N1684" s="29"/>
      <c r="O1684" s="29"/>
      <c r="P1684" s="29"/>
      <c r="Q1684" s="29"/>
      <c r="R1684" s="29"/>
      <c r="S1684" s="29"/>
    </row>
    <row r="1685" spans="13:19" ht="16.5" customHeight="1" x14ac:dyDescent="0.2">
      <c r="M1685" s="29"/>
      <c r="N1685" s="29"/>
      <c r="O1685" s="29"/>
      <c r="P1685" s="29"/>
      <c r="Q1685" s="29"/>
      <c r="R1685" s="29"/>
      <c r="S1685" s="29"/>
    </row>
    <row r="1686" spans="13:19" ht="16.5" customHeight="1" x14ac:dyDescent="0.2">
      <c r="M1686" s="29"/>
      <c r="N1686" s="29"/>
      <c r="O1686" s="29"/>
      <c r="P1686" s="29"/>
      <c r="Q1686" s="29"/>
      <c r="R1686" s="29"/>
      <c r="S1686" s="29"/>
    </row>
    <row r="1687" spans="13:19" ht="16.5" customHeight="1" x14ac:dyDescent="0.2">
      <c r="M1687" s="29"/>
      <c r="N1687" s="29"/>
      <c r="O1687" s="29"/>
      <c r="P1687" s="29"/>
      <c r="Q1687" s="29"/>
      <c r="R1687" s="29"/>
      <c r="S1687" s="29"/>
    </row>
    <row r="1688" spans="13:19" ht="16.5" customHeight="1" x14ac:dyDescent="0.2">
      <c r="M1688" s="29"/>
      <c r="N1688" s="29"/>
      <c r="O1688" s="29"/>
      <c r="P1688" s="29"/>
      <c r="Q1688" s="29"/>
      <c r="R1688" s="29"/>
      <c r="S1688" s="29"/>
    </row>
    <row r="1689" spans="13:19" ht="16.5" customHeight="1" x14ac:dyDescent="0.2">
      <c r="M1689" s="29"/>
      <c r="N1689" s="29"/>
      <c r="O1689" s="29"/>
      <c r="P1689" s="29"/>
      <c r="Q1689" s="29"/>
      <c r="R1689" s="29"/>
      <c r="S1689" s="29"/>
    </row>
    <row r="1690" spans="13:19" ht="16.5" customHeight="1" x14ac:dyDescent="0.2">
      <c r="M1690" s="29"/>
      <c r="N1690" s="29"/>
      <c r="O1690" s="29"/>
      <c r="P1690" s="29"/>
      <c r="Q1690" s="29"/>
      <c r="R1690" s="29"/>
      <c r="S1690" s="29"/>
    </row>
    <row r="1691" spans="13:19" ht="16.5" customHeight="1" x14ac:dyDescent="0.2">
      <c r="M1691" s="29"/>
      <c r="N1691" s="29"/>
      <c r="O1691" s="29"/>
      <c r="P1691" s="29"/>
      <c r="Q1691" s="29"/>
      <c r="R1691" s="29"/>
      <c r="S1691" s="29"/>
    </row>
    <row r="1692" spans="13:19" ht="16.5" customHeight="1" x14ac:dyDescent="0.2">
      <c r="M1692" s="29"/>
      <c r="N1692" s="29"/>
      <c r="O1692" s="29"/>
      <c r="P1692" s="29"/>
      <c r="Q1692" s="29"/>
      <c r="R1692" s="29"/>
      <c r="S1692" s="29"/>
    </row>
    <row r="1693" spans="13:19" ht="16.5" customHeight="1" x14ac:dyDescent="0.2">
      <c r="M1693" s="29"/>
      <c r="N1693" s="29"/>
      <c r="O1693" s="29"/>
      <c r="P1693" s="29"/>
      <c r="Q1693" s="29"/>
      <c r="R1693" s="29"/>
      <c r="S1693" s="29"/>
    </row>
    <row r="1694" spans="13:19" ht="16.5" customHeight="1" x14ac:dyDescent="0.2">
      <c r="M1694" s="29"/>
      <c r="N1694" s="29"/>
      <c r="O1694" s="29"/>
      <c r="P1694" s="29"/>
      <c r="Q1694" s="29"/>
      <c r="R1694" s="29"/>
      <c r="S1694" s="29"/>
    </row>
    <row r="1695" spans="13:19" ht="16.5" customHeight="1" x14ac:dyDescent="0.2">
      <c r="M1695" s="29"/>
      <c r="N1695" s="29"/>
      <c r="O1695" s="29"/>
      <c r="P1695" s="29"/>
      <c r="Q1695" s="29"/>
      <c r="R1695" s="29"/>
      <c r="S1695" s="29"/>
    </row>
    <row r="1696" spans="13:19" ht="16.5" customHeight="1" x14ac:dyDescent="0.2">
      <c r="M1696" s="29"/>
      <c r="N1696" s="29"/>
      <c r="O1696" s="29"/>
      <c r="P1696" s="29"/>
      <c r="Q1696" s="29"/>
      <c r="R1696" s="29"/>
      <c r="S1696" s="29"/>
    </row>
    <row r="1697" spans="13:19" ht="16.5" customHeight="1" x14ac:dyDescent="0.2">
      <c r="M1697" s="29"/>
      <c r="N1697" s="29"/>
      <c r="O1697" s="29"/>
      <c r="P1697" s="29"/>
      <c r="Q1697" s="29"/>
      <c r="R1697" s="29"/>
      <c r="S1697" s="29"/>
    </row>
    <row r="1698" spans="13:19" ht="16.5" customHeight="1" x14ac:dyDescent="0.2">
      <c r="M1698" s="29"/>
      <c r="N1698" s="29"/>
      <c r="O1698" s="29"/>
      <c r="P1698" s="29"/>
      <c r="Q1698" s="29"/>
      <c r="R1698" s="29"/>
      <c r="S1698" s="29"/>
    </row>
    <row r="1699" spans="13:19" ht="16.5" customHeight="1" x14ac:dyDescent="0.2">
      <c r="M1699" s="29"/>
      <c r="N1699" s="29"/>
      <c r="O1699" s="29"/>
      <c r="P1699" s="29"/>
      <c r="Q1699" s="29"/>
      <c r="R1699" s="29"/>
      <c r="S1699" s="29"/>
    </row>
    <row r="1700" spans="13:19" ht="16.5" customHeight="1" x14ac:dyDescent="0.2">
      <c r="M1700" s="29"/>
      <c r="N1700" s="29"/>
      <c r="O1700" s="29"/>
      <c r="P1700" s="29"/>
      <c r="Q1700" s="29"/>
      <c r="R1700" s="29"/>
      <c r="S1700" s="29"/>
    </row>
    <row r="1701" spans="13:19" ht="16.5" customHeight="1" x14ac:dyDescent="0.2">
      <c r="M1701" s="29"/>
      <c r="N1701" s="29"/>
      <c r="O1701" s="29"/>
      <c r="P1701" s="29"/>
      <c r="Q1701" s="29"/>
      <c r="R1701" s="29"/>
      <c r="S1701" s="29"/>
    </row>
    <row r="1702" spans="13:19" ht="16.5" customHeight="1" x14ac:dyDescent="0.2">
      <c r="M1702" s="29"/>
      <c r="N1702" s="29"/>
      <c r="O1702" s="29"/>
      <c r="P1702" s="29"/>
      <c r="Q1702" s="29"/>
      <c r="R1702" s="29"/>
      <c r="S1702" s="29"/>
    </row>
    <row r="1703" spans="13:19" ht="16.5" customHeight="1" x14ac:dyDescent="0.2">
      <c r="M1703" s="29"/>
      <c r="N1703" s="29"/>
      <c r="O1703" s="29"/>
      <c r="P1703" s="29"/>
      <c r="Q1703" s="29"/>
      <c r="R1703" s="29"/>
      <c r="S1703" s="29"/>
    </row>
    <row r="1704" spans="13:19" ht="16.5" customHeight="1" x14ac:dyDescent="0.2">
      <c r="M1704" s="29"/>
      <c r="N1704" s="29"/>
      <c r="O1704" s="29"/>
      <c r="P1704" s="29"/>
      <c r="Q1704" s="29"/>
      <c r="R1704" s="29"/>
      <c r="S1704" s="29"/>
    </row>
    <row r="1705" spans="13:19" ht="16.5" customHeight="1" x14ac:dyDescent="0.2">
      <c r="M1705" s="29"/>
      <c r="N1705" s="29"/>
      <c r="O1705" s="29"/>
      <c r="P1705" s="29"/>
      <c r="Q1705" s="29"/>
      <c r="R1705" s="29"/>
      <c r="S1705" s="29"/>
    </row>
    <row r="1706" spans="13:19" ht="16.5" customHeight="1" x14ac:dyDescent="0.2">
      <c r="M1706" s="29"/>
      <c r="N1706" s="29"/>
      <c r="O1706" s="29"/>
      <c r="P1706" s="29"/>
      <c r="Q1706" s="29"/>
      <c r="R1706" s="29"/>
      <c r="S1706" s="29"/>
    </row>
    <row r="1707" spans="13:19" ht="16.5" customHeight="1" x14ac:dyDescent="0.2">
      <c r="M1707" s="29"/>
      <c r="N1707" s="29"/>
      <c r="O1707" s="29"/>
      <c r="P1707" s="29"/>
      <c r="Q1707" s="29"/>
      <c r="R1707" s="29"/>
      <c r="S1707" s="29"/>
    </row>
    <row r="1708" spans="13:19" ht="16.5" customHeight="1" x14ac:dyDescent="0.2">
      <c r="M1708" s="29"/>
      <c r="N1708" s="29"/>
      <c r="O1708" s="29"/>
      <c r="P1708" s="29"/>
      <c r="Q1708" s="29"/>
      <c r="R1708" s="29"/>
      <c r="S1708" s="29"/>
    </row>
    <row r="1709" spans="13:19" ht="16.5" customHeight="1" x14ac:dyDescent="0.2">
      <c r="M1709" s="29"/>
      <c r="N1709" s="29"/>
      <c r="O1709" s="29"/>
      <c r="P1709" s="29"/>
      <c r="Q1709" s="29"/>
      <c r="R1709" s="29"/>
      <c r="S1709" s="29"/>
    </row>
    <row r="1710" spans="13:19" ht="16.5" customHeight="1" x14ac:dyDescent="0.2">
      <c r="M1710" s="29"/>
      <c r="N1710" s="29"/>
      <c r="O1710" s="29"/>
      <c r="P1710" s="29"/>
      <c r="Q1710" s="29"/>
      <c r="R1710" s="29"/>
      <c r="S1710" s="29"/>
    </row>
    <row r="1711" spans="13:19" ht="16.5" customHeight="1" x14ac:dyDescent="0.2">
      <c r="M1711" s="29"/>
      <c r="N1711" s="29"/>
      <c r="O1711" s="29"/>
      <c r="P1711" s="29"/>
      <c r="Q1711" s="29"/>
      <c r="R1711" s="29"/>
      <c r="S1711" s="29"/>
    </row>
    <row r="1712" spans="13:19" ht="16.5" customHeight="1" x14ac:dyDescent="0.2">
      <c r="M1712" s="29"/>
      <c r="N1712" s="29"/>
      <c r="O1712" s="29"/>
      <c r="P1712" s="29"/>
      <c r="Q1712" s="29"/>
      <c r="R1712" s="29"/>
      <c r="S1712" s="29"/>
    </row>
    <row r="1713" spans="13:19" ht="16.5" customHeight="1" x14ac:dyDescent="0.2">
      <c r="M1713" s="29"/>
      <c r="N1713" s="29"/>
      <c r="O1713" s="29"/>
      <c r="P1713" s="29"/>
      <c r="Q1713" s="29"/>
      <c r="R1713" s="29"/>
      <c r="S1713" s="29"/>
    </row>
    <row r="1714" spans="13:19" ht="16.5" customHeight="1" x14ac:dyDescent="0.2">
      <c r="M1714" s="29"/>
      <c r="N1714" s="29"/>
      <c r="O1714" s="29"/>
      <c r="P1714" s="29"/>
      <c r="Q1714" s="29"/>
      <c r="R1714" s="29"/>
      <c r="S1714" s="29"/>
    </row>
    <row r="1715" spans="13:19" ht="16.5" customHeight="1" x14ac:dyDescent="0.2">
      <c r="M1715" s="29"/>
      <c r="N1715" s="29"/>
      <c r="O1715" s="29"/>
      <c r="P1715" s="29"/>
      <c r="Q1715" s="29"/>
      <c r="R1715" s="29"/>
      <c r="S1715" s="29"/>
    </row>
    <row r="1716" spans="13:19" ht="16.5" customHeight="1" x14ac:dyDescent="0.2">
      <c r="M1716" s="29"/>
      <c r="N1716" s="29"/>
      <c r="O1716" s="29"/>
      <c r="P1716" s="29"/>
      <c r="Q1716" s="29"/>
      <c r="R1716" s="29"/>
      <c r="S1716" s="29"/>
    </row>
    <row r="1717" spans="13:19" ht="16.5" customHeight="1" x14ac:dyDescent="0.2">
      <c r="M1717" s="29"/>
      <c r="N1717" s="29"/>
      <c r="O1717" s="29"/>
      <c r="P1717" s="29"/>
      <c r="Q1717" s="29"/>
      <c r="R1717" s="29"/>
      <c r="S1717" s="29"/>
    </row>
    <row r="1718" spans="13:19" ht="16.5" customHeight="1" x14ac:dyDescent="0.2">
      <c r="M1718" s="29"/>
      <c r="N1718" s="29"/>
      <c r="O1718" s="29"/>
      <c r="P1718" s="29"/>
      <c r="Q1718" s="29"/>
      <c r="R1718" s="29"/>
      <c r="S1718" s="29"/>
    </row>
    <row r="1719" spans="13:19" ht="16.5" customHeight="1" x14ac:dyDescent="0.2">
      <c r="M1719" s="29"/>
      <c r="N1719" s="29"/>
      <c r="O1719" s="29"/>
      <c r="P1719" s="29"/>
      <c r="Q1719" s="29"/>
      <c r="R1719" s="29"/>
      <c r="S1719" s="29"/>
    </row>
    <row r="1720" spans="13:19" ht="16.5" customHeight="1" x14ac:dyDescent="0.2">
      <c r="M1720" s="29"/>
      <c r="N1720" s="29"/>
      <c r="O1720" s="29"/>
      <c r="P1720" s="29"/>
      <c r="Q1720" s="29"/>
      <c r="R1720" s="29"/>
      <c r="S1720" s="29"/>
    </row>
    <row r="1721" spans="13:19" ht="16.5" customHeight="1" x14ac:dyDescent="0.2">
      <c r="M1721" s="29"/>
      <c r="N1721" s="29"/>
      <c r="O1721" s="29"/>
      <c r="P1721" s="29"/>
      <c r="Q1721" s="29"/>
      <c r="R1721" s="29"/>
      <c r="S1721" s="29"/>
    </row>
    <row r="1722" spans="13:19" ht="16.5" customHeight="1" x14ac:dyDescent="0.2">
      <c r="M1722" s="29"/>
      <c r="N1722" s="29"/>
      <c r="O1722" s="29"/>
      <c r="P1722" s="29"/>
      <c r="Q1722" s="29"/>
      <c r="R1722" s="29"/>
      <c r="S1722" s="29"/>
    </row>
    <row r="1723" spans="13:19" ht="16.5" customHeight="1" x14ac:dyDescent="0.2">
      <c r="M1723" s="29"/>
      <c r="N1723" s="29"/>
      <c r="O1723" s="29"/>
      <c r="P1723" s="29"/>
      <c r="Q1723" s="29"/>
      <c r="R1723" s="29"/>
      <c r="S1723" s="29"/>
    </row>
    <row r="1724" spans="13:19" ht="16.5" customHeight="1" x14ac:dyDescent="0.2">
      <c r="M1724" s="29"/>
      <c r="N1724" s="29"/>
      <c r="O1724" s="29"/>
      <c r="P1724" s="29"/>
      <c r="Q1724" s="29"/>
      <c r="R1724" s="29"/>
      <c r="S1724" s="29"/>
    </row>
    <row r="1725" spans="13:19" ht="16.5" customHeight="1" x14ac:dyDescent="0.2">
      <c r="M1725" s="29"/>
      <c r="N1725" s="29"/>
      <c r="O1725" s="29"/>
      <c r="P1725" s="29"/>
      <c r="Q1725" s="29"/>
      <c r="R1725" s="29"/>
      <c r="S1725" s="29"/>
    </row>
    <row r="1726" spans="13:19" ht="16.5" customHeight="1" x14ac:dyDescent="0.2">
      <c r="M1726" s="29"/>
      <c r="N1726" s="29"/>
      <c r="O1726" s="29"/>
      <c r="P1726" s="29"/>
      <c r="Q1726" s="29"/>
      <c r="R1726" s="29"/>
      <c r="S1726" s="29"/>
    </row>
    <row r="1727" spans="13:19" ht="16.5" customHeight="1" x14ac:dyDescent="0.2">
      <c r="M1727" s="29"/>
      <c r="N1727" s="29"/>
      <c r="O1727" s="29"/>
      <c r="P1727" s="29"/>
      <c r="Q1727" s="29"/>
      <c r="R1727" s="29"/>
      <c r="S1727" s="29"/>
    </row>
    <row r="1728" spans="13:19" ht="16.5" customHeight="1" x14ac:dyDescent="0.2">
      <c r="M1728" s="29"/>
      <c r="N1728" s="29"/>
      <c r="O1728" s="29"/>
      <c r="P1728" s="29"/>
      <c r="Q1728" s="29"/>
      <c r="R1728" s="29"/>
      <c r="S1728" s="29"/>
    </row>
    <row r="1729" spans="13:19" ht="16.5" customHeight="1" x14ac:dyDescent="0.2">
      <c r="M1729" s="29"/>
      <c r="N1729" s="29"/>
      <c r="O1729" s="29"/>
      <c r="P1729" s="29"/>
      <c r="Q1729" s="29"/>
      <c r="R1729" s="29"/>
      <c r="S1729" s="29"/>
    </row>
    <row r="1730" spans="13:19" ht="16.5" customHeight="1" x14ac:dyDescent="0.2">
      <c r="M1730" s="29"/>
      <c r="N1730" s="29"/>
      <c r="O1730" s="29"/>
      <c r="P1730" s="29"/>
      <c r="Q1730" s="29"/>
      <c r="R1730" s="29"/>
      <c r="S1730" s="29"/>
    </row>
    <row r="1731" spans="13:19" ht="16.5" customHeight="1" x14ac:dyDescent="0.2">
      <c r="M1731" s="29"/>
      <c r="N1731" s="29"/>
      <c r="O1731" s="29"/>
      <c r="P1731" s="29"/>
      <c r="Q1731" s="29"/>
      <c r="R1731" s="29"/>
      <c r="S1731" s="29"/>
    </row>
    <row r="1732" spans="13:19" ht="16.5" customHeight="1" x14ac:dyDescent="0.2">
      <c r="M1732" s="29"/>
      <c r="N1732" s="29"/>
      <c r="O1732" s="29"/>
      <c r="P1732" s="29"/>
      <c r="Q1732" s="29"/>
      <c r="R1732" s="29"/>
      <c r="S1732" s="29"/>
    </row>
    <row r="1733" spans="13:19" ht="16.5" customHeight="1" x14ac:dyDescent="0.2">
      <c r="M1733" s="29"/>
      <c r="N1733" s="29"/>
      <c r="O1733" s="29"/>
      <c r="P1733" s="29"/>
      <c r="Q1733" s="29"/>
      <c r="R1733" s="29"/>
      <c r="S1733" s="29"/>
    </row>
    <row r="1734" spans="13:19" ht="16.5" customHeight="1" x14ac:dyDescent="0.2">
      <c r="M1734" s="29"/>
      <c r="N1734" s="29"/>
      <c r="O1734" s="29"/>
      <c r="P1734" s="29"/>
      <c r="Q1734" s="29"/>
      <c r="R1734" s="29"/>
      <c r="S1734" s="29"/>
    </row>
    <row r="1735" spans="13:19" ht="16.5" customHeight="1" x14ac:dyDescent="0.2">
      <c r="M1735" s="29"/>
      <c r="N1735" s="29"/>
      <c r="O1735" s="29"/>
      <c r="P1735" s="29"/>
      <c r="Q1735" s="29"/>
      <c r="R1735" s="29"/>
      <c r="S1735" s="29"/>
    </row>
    <row r="1736" spans="13:19" ht="16.5" customHeight="1" x14ac:dyDescent="0.2">
      <c r="M1736" s="29"/>
      <c r="N1736" s="29"/>
      <c r="O1736" s="29"/>
      <c r="P1736" s="29"/>
      <c r="Q1736" s="29"/>
      <c r="R1736" s="29"/>
      <c r="S1736" s="29"/>
    </row>
    <row r="1737" spans="13:19" ht="16.5" customHeight="1" x14ac:dyDescent="0.2">
      <c r="M1737" s="29"/>
      <c r="N1737" s="29"/>
      <c r="O1737" s="29"/>
      <c r="P1737" s="29"/>
      <c r="Q1737" s="29"/>
      <c r="R1737" s="29"/>
      <c r="S1737" s="29"/>
    </row>
    <row r="1738" spans="13:19" ht="16.5" customHeight="1" x14ac:dyDescent="0.2">
      <c r="M1738" s="29"/>
      <c r="N1738" s="29"/>
      <c r="O1738" s="29"/>
      <c r="P1738" s="29"/>
      <c r="Q1738" s="29"/>
      <c r="R1738" s="29"/>
      <c r="S1738" s="29"/>
    </row>
    <row r="1739" spans="13:19" ht="16.5" customHeight="1" x14ac:dyDescent="0.2">
      <c r="M1739" s="29"/>
      <c r="N1739" s="29"/>
      <c r="O1739" s="29"/>
      <c r="P1739" s="29"/>
      <c r="Q1739" s="29"/>
      <c r="R1739" s="29"/>
      <c r="S1739" s="29"/>
    </row>
    <row r="1740" spans="13:19" ht="16.5" customHeight="1" x14ac:dyDescent="0.2">
      <c r="M1740" s="29"/>
      <c r="N1740" s="29"/>
      <c r="O1740" s="29"/>
      <c r="P1740" s="29"/>
      <c r="Q1740" s="29"/>
      <c r="R1740" s="29"/>
      <c r="S1740" s="29"/>
    </row>
    <row r="1741" spans="13:19" ht="16.5" customHeight="1" x14ac:dyDescent="0.2">
      <c r="M1741" s="29"/>
      <c r="N1741" s="29"/>
      <c r="O1741" s="29"/>
      <c r="P1741" s="29"/>
      <c r="Q1741" s="29"/>
      <c r="R1741" s="29"/>
      <c r="S1741" s="29"/>
    </row>
    <row r="1742" spans="13:19" ht="16.5" customHeight="1" x14ac:dyDescent="0.2">
      <c r="M1742" s="29"/>
      <c r="N1742" s="29"/>
      <c r="O1742" s="29"/>
      <c r="P1742" s="29"/>
      <c r="Q1742" s="29"/>
      <c r="R1742" s="29"/>
      <c r="S1742" s="29"/>
    </row>
    <row r="1743" spans="13:19" ht="16.5" customHeight="1" x14ac:dyDescent="0.2">
      <c r="M1743" s="29"/>
      <c r="N1743" s="29"/>
      <c r="O1743" s="29"/>
      <c r="P1743" s="29"/>
      <c r="Q1743" s="29"/>
      <c r="R1743" s="29"/>
      <c r="S1743" s="29"/>
    </row>
    <row r="1744" spans="13:19" ht="16.5" customHeight="1" x14ac:dyDescent="0.2">
      <c r="M1744" s="29"/>
      <c r="N1744" s="29"/>
      <c r="O1744" s="29"/>
      <c r="P1744" s="29"/>
      <c r="Q1744" s="29"/>
      <c r="R1744" s="29"/>
      <c r="S1744" s="29"/>
    </row>
    <row r="1745" spans="13:19" ht="16.5" customHeight="1" x14ac:dyDescent="0.2">
      <c r="M1745" s="29"/>
      <c r="N1745" s="29"/>
      <c r="O1745" s="29"/>
      <c r="P1745" s="29"/>
      <c r="Q1745" s="29"/>
      <c r="R1745" s="29"/>
      <c r="S1745" s="29"/>
    </row>
    <row r="1746" spans="13:19" ht="16.5" customHeight="1" x14ac:dyDescent="0.2">
      <c r="M1746" s="29"/>
      <c r="N1746" s="29"/>
      <c r="O1746" s="29"/>
      <c r="P1746" s="29"/>
      <c r="Q1746" s="29"/>
      <c r="R1746" s="29"/>
      <c r="S1746" s="29"/>
    </row>
    <row r="1747" spans="13:19" ht="16.5" customHeight="1" x14ac:dyDescent="0.2">
      <c r="M1747" s="29"/>
      <c r="N1747" s="29"/>
      <c r="O1747" s="29"/>
      <c r="P1747" s="29"/>
      <c r="Q1747" s="29"/>
      <c r="R1747" s="29"/>
      <c r="S1747" s="29"/>
    </row>
    <row r="1748" spans="13:19" ht="16.5" customHeight="1" x14ac:dyDescent="0.2">
      <c r="M1748" s="29"/>
      <c r="N1748" s="29"/>
      <c r="O1748" s="29"/>
      <c r="P1748" s="29"/>
      <c r="Q1748" s="29"/>
      <c r="R1748" s="29"/>
      <c r="S1748" s="29"/>
    </row>
    <row r="1749" spans="13:19" ht="16.5" customHeight="1" x14ac:dyDescent="0.2">
      <c r="M1749" s="29"/>
      <c r="N1749" s="29"/>
      <c r="O1749" s="29"/>
      <c r="P1749" s="29"/>
      <c r="Q1749" s="29"/>
      <c r="R1749" s="29"/>
      <c r="S1749" s="29"/>
    </row>
    <row r="1750" spans="13:19" ht="16.5" customHeight="1" x14ac:dyDescent="0.2">
      <c r="M1750" s="29"/>
      <c r="N1750" s="29"/>
      <c r="O1750" s="29"/>
      <c r="P1750" s="29"/>
      <c r="Q1750" s="29"/>
      <c r="R1750" s="29"/>
      <c r="S1750" s="29"/>
    </row>
    <row r="1751" spans="13:19" ht="16.5" customHeight="1" x14ac:dyDescent="0.2">
      <c r="M1751" s="29"/>
      <c r="N1751" s="29"/>
      <c r="O1751" s="29"/>
      <c r="P1751" s="29"/>
      <c r="Q1751" s="29"/>
      <c r="R1751" s="29"/>
      <c r="S1751" s="29"/>
    </row>
    <row r="1752" spans="13:19" ht="16.5" customHeight="1" x14ac:dyDescent="0.2">
      <c r="M1752" s="29"/>
      <c r="N1752" s="29"/>
      <c r="O1752" s="29"/>
      <c r="P1752" s="29"/>
      <c r="Q1752" s="29"/>
      <c r="R1752" s="29"/>
      <c r="S1752" s="29"/>
    </row>
    <row r="1753" spans="13:19" ht="16.5" customHeight="1" x14ac:dyDescent="0.2">
      <c r="M1753" s="29"/>
      <c r="N1753" s="29"/>
      <c r="O1753" s="29"/>
      <c r="P1753" s="29"/>
      <c r="Q1753" s="29"/>
      <c r="R1753" s="29"/>
      <c r="S1753" s="29"/>
    </row>
    <row r="1754" spans="13:19" ht="16.5" customHeight="1" x14ac:dyDescent="0.2">
      <c r="M1754" s="29"/>
      <c r="N1754" s="29"/>
      <c r="O1754" s="29"/>
      <c r="P1754" s="29"/>
      <c r="Q1754" s="29"/>
      <c r="R1754" s="29"/>
      <c r="S1754" s="29"/>
    </row>
    <row r="1755" spans="13:19" ht="16.5" customHeight="1" x14ac:dyDescent="0.2">
      <c r="M1755" s="29"/>
      <c r="N1755" s="29"/>
      <c r="O1755" s="29"/>
      <c r="P1755" s="29"/>
      <c r="Q1755" s="29"/>
      <c r="R1755" s="29"/>
      <c r="S1755" s="29"/>
    </row>
    <row r="1756" spans="13:19" ht="16.5" customHeight="1" x14ac:dyDescent="0.2">
      <c r="M1756" s="29"/>
      <c r="N1756" s="29"/>
      <c r="O1756" s="29"/>
      <c r="P1756" s="29"/>
      <c r="Q1756" s="29"/>
      <c r="R1756" s="29"/>
      <c r="S1756" s="29"/>
    </row>
    <row r="1757" spans="13:19" ht="16.5" customHeight="1" x14ac:dyDescent="0.2">
      <c r="M1757" s="29"/>
      <c r="N1757" s="29"/>
      <c r="O1757" s="29"/>
      <c r="P1757" s="29"/>
      <c r="Q1757" s="29"/>
      <c r="R1757" s="29"/>
      <c r="S1757" s="29"/>
    </row>
    <row r="1758" spans="13:19" ht="16.5" customHeight="1" x14ac:dyDescent="0.2">
      <c r="M1758" s="29"/>
      <c r="N1758" s="29"/>
      <c r="O1758" s="29"/>
      <c r="P1758" s="29"/>
      <c r="Q1758" s="29"/>
      <c r="R1758" s="29"/>
      <c r="S1758" s="29"/>
    </row>
    <row r="1759" spans="13:19" ht="16.5" customHeight="1" x14ac:dyDescent="0.2">
      <c r="M1759" s="29"/>
      <c r="N1759" s="29"/>
      <c r="O1759" s="29"/>
      <c r="P1759" s="29"/>
      <c r="Q1759" s="29"/>
      <c r="R1759" s="29"/>
      <c r="S1759" s="29"/>
    </row>
    <row r="1760" spans="13:19" ht="16.5" customHeight="1" x14ac:dyDescent="0.2">
      <c r="M1760" s="29"/>
      <c r="N1760" s="29"/>
      <c r="O1760" s="29"/>
      <c r="P1760" s="29"/>
      <c r="Q1760" s="29"/>
      <c r="R1760" s="29"/>
      <c r="S1760" s="29"/>
    </row>
    <row r="1761" spans="13:19" ht="16.5" customHeight="1" x14ac:dyDescent="0.2">
      <c r="M1761" s="29"/>
      <c r="N1761" s="29"/>
      <c r="O1761" s="29"/>
      <c r="P1761" s="29"/>
      <c r="Q1761" s="29"/>
      <c r="R1761" s="29"/>
      <c r="S1761" s="29"/>
    </row>
    <row r="1762" spans="13:19" ht="16.5" customHeight="1" x14ac:dyDescent="0.2">
      <c r="M1762" s="29"/>
      <c r="N1762" s="29"/>
      <c r="O1762" s="29"/>
      <c r="P1762" s="29"/>
      <c r="Q1762" s="29"/>
      <c r="R1762" s="29"/>
      <c r="S1762" s="29"/>
    </row>
    <row r="1763" spans="13:19" ht="16.5" customHeight="1" x14ac:dyDescent="0.2">
      <c r="M1763" s="29"/>
      <c r="N1763" s="29"/>
      <c r="O1763" s="29"/>
      <c r="P1763" s="29"/>
      <c r="Q1763" s="29"/>
      <c r="R1763" s="29"/>
      <c r="S1763" s="29"/>
    </row>
    <row r="1764" spans="13:19" ht="16.5" customHeight="1" x14ac:dyDescent="0.2">
      <c r="M1764" s="29"/>
      <c r="N1764" s="29"/>
      <c r="O1764" s="29"/>
      <c r="P1764" s="29"/>
      <c r="Q1764" s="29"/>
      <c r="R1764" s="29"/>
      <c r="S1764" s="29"/>
    </row>
    <row r="1765" spans="13:19" ht="16.5" customHeight="1" x14ac:dyDescent="0.2">
      <c r="M1765" s="29"/>
      <c r="N1765" s="29"/>
      <c r="O1765" s="29"/>
      <c r="P1765" s="29"/>
      <c r="Q1765" s="29"/>
      <c r="R1765" s="29"/>
      <c r="S1765" s="29"/>
    </row>
    <row r="1766" spans="13:19" ht="16.5" customHeight="1" x14ac:dyDescent="0.2">
      <c r="M1766" s="29"/>
      <c r="N1766" s="29"/>
      <c r="O1766" s="29"/>
      <c r="P1766" s="29"/>
      <c r="Q1766" s="29"/>
      <c r="R1766" s="29"/>
      <c r="S1766" s="29"/>
    </row>
    <row r="1767" spans="13:19" ht="16.5" customHeight="1" x14ac:dyDescent="0.2">
      <c r="M1767" s="29"/>
      <c r="N1767" s="29"/>
      <c r="O1767" s="29"/>
      <c r="P1767" s="29"/>
      <c r="Q1767" s="29"/>
      <c r="R1767" s="29"/>
      <c r="S1767" s="29"/>
    </row>
    <row r="1768" spans="13:19" ht="16.5" customHeight="1" x14ac:dyDescent="0.2">
      <c r="M1768" s="29"/>
      <c r="N1768" s="29"/>
      <c r="O1768" s="29"/>
      <c r="P1768" s="29"/>
      <c r="Q1768" s="29"/>
      <c r="R1768" s="29"/>
      <c r="S1768" s="29"/>
    </row>
    <row r="1769" spans="13:19" ht="16.5" customHeight="1" x14ac:dyDescent="0.2">
      <c r="M1769" s="29"/>
      <c r="N1769" s="29"/>
      <c r="O1769" s="29"/>
      <c r="P1769" s="29"/>
      <c r="Q1769" s="29"/>
      <c r="R1769" s="29"/>
      <c r="S1769" s="29"/>
    </row>
    <row r="1770" spans="13:19" ht="16.5" customHeight="1" x14ac:dyDescent="0.2">
      <c r="M1770" s="29"/>
      <c r="N1770" s="29"/>
      <c r="O1770" s="29"/>
      <c r="P1770" s="29"/>
      <c r="Q1770" s="29"/>
      <c r="R1770" s="29"/>
      <c r="S1770" s="29"/>
    </row>
    <row r="1771" spans="13:19" ht="16.5" customHeight="1" x14ac:dyDescent="0.2">
      <c r="M1771" s="29"/>
      <c r="N1771" s="29"/>
      <c r="O1771" s="29"/>
      <c r="P1771" s="29"/>
      <c r="Q1771" s="29"/>
      <c r="R1771" s="29"/>
      <c r="S1771" s="29"/>
    </row>
    <row r="1772" spans="13:19" ht="16.5" customHeight="1" x14ac:dyDescent="0.2">
      <c r="M1772" s="29"/>
      <c r="N1772" s="29"/>
      <c r="O1772" s="29"/>
      <c r="P1772" s="29"/>
      <c r="Q1772" s="29"/>
      <c r="R1772" s="29"/>
      <c r="S1772" s="29"/>
    </row>
    <row r="1773" spans="13:19" ht="16.5" customHeight="1" x14ac:dyDescent="0.2">
      <c r="M1773" s="29"/>
      <c r="N1773" s="29"/>
      <c r="O1773" s="29"/>
      <c r="P1773" s="29"/>
      <c r="Q1773" s="29"/>
      <c r="R1773" s="29"/>
      <c r="S1773" s="29"/>
    </row>
    <row r="1774" spans="13:19" ht="16.5" customHeight="1" x14ac:dyDescent="0.2">
      <c r="M1774" s="29"/>
      <c r="N1774" s="29"/>
      <c r="O1774" s="29"/>
      <c r="P1774" s="29"/>
      <c r="Q1774" s="29"/>
      <c r="R1774" s="29"/>
      <c r="S1774" s="29"/>
    </row>
    <row r="1775" spans="13:19" ht="16.5" customHeight="1" x14ac:dyDescent="0.2">
      <c r="M1775" s="29"/>
      <c r="N1775" s="29"/>
      <c r="O1775" s="29"/>
      <c r="P1775" s="29"/>
      <c r="Q1775" s="29"/>
      <c r="R1775" s="29"/>
      <c r="S1775" s="29"/>
    </row>
    <row r="1776" spans="13:19" ht="16.5" customHeight="1" x14ac:dyDescent="0.2">
      <c r="M1776" s="29"/>
      <c r="N1776" s="29"/>
      <c r="O1776" s="29"/>
      <c r="P1776" s="29"/>
      <c r="Q1776" s="29"/>
      <c r="R1776" s="29"/>
      <c r="S1776" s="29"/>
    </row>
    <row r="1777" spans="13:19" ht="16.5" customHeight="1" x14ac:dyDescent="0.2">
      <c r="M1777" s="29"/>
      <c r="N1777" s="29"/>
      <c r="O1777" s="29"/>
      <c r="P1777" s="29"/>
      <c r="Q1777" s="29"/>
      <c r="R1777" s="29"/>
      <c r="S1777" s="29"/>
    </row>
    <row r="1778" spans="13:19" ht="16.5" customHeight="1" x14ac:dyDescent="0.2">
      <c r="M1778" s="29"/>
      <c r="N1778" s="29"/>
      <c r="O1778" s="29"/>
      <c r="P1778" s="29"/>
      <c r="Q1778" s="29"/>
      <c r="R1778" s="29"/>
      <c r="S1778" s="29"/>
    </row>
    <row r="1779" spans="13:19" ht="16.5" customHeight="1" x14ac:dyDescent="0.2">
      <c r="M1779" s="29"/>
      <c r="N1779" s="29"/>
      <c r="O1779" s="29"/>
      <c r="P1779" s="29"/>
      <c r="Q1779" s="29"/>
      <c r="R1779" s="29"/>
      <c r="S1779" s="29"/>
    </row>
    <row r="1780" spans="13:19" ht="16.5" customHeight="1" x14ac:dyDescent="0.2">
      <c r="M1780" s="29"/>
      <c r="N1780" s="29"/>
      <c r="O1780" s="29"/>
      <c r="P1780" s="29"/>
      <c r="Q1780" s="29"/>
      <c r="R1780" s="29"/>
      <c r="S1780" s="29"/>
    </row>
    <row r="1781" spans="13:19" ht="16.5" customHeight="1" x14ac:dyDescent="0.2">
      <c r="M1781" s="29"/>
      <c r="N1781" s="29"/>
      <c r="O1781" s="29"/>
      <c r="P1781" s="29"/>
      <c r="Q1781" s="29"/>
      <c r="R1781" s="29"/>
      <c r="S1781" s="29"/>
    </row>
    <row r="1782" spans="13:19" ht="16.5" customHeight="1" x14ac:dyDescent="0.2">
      <c r="M1782" s="29"/>
      <c r="N1782" s="29"/>
      <c r="O1782" s="29"/>
      <c r="P1782" s="29"/>
      <c r="Q1782" s="29"/>
      <c r="R1782" s="29"/>
      <c r="S1782" s="29"/>
    </row>
    <row r="1783" spans="13:19" ht="16.5" customHeight="1" x14ac:dyDescent="0.2">
      <c r="M1783" s="29"/>
      <c r="N1783" s="29"/>
      <c r="O1783" s="29"/>
      <c r="P1783" s="29"/>
      <c r="Q1783" s="29"/>
      <c r="R1783" s="29"/>
      <c r="S1783" s="29"/>
    </row>
    <row r="1784" spans="13:19" ht="16.5" customHeight="1" x14ac:dyDescent="0.2">
      <c r="M1784" s="29"/>
      <c r="N1784" s="29"/>
      <c r="O1784" s="29"/>
      <c r="P1784" s="29"/>
      <c r="Q1784" s="29"/>
      <c r="R1784" s="29"/>
      <c r="S1784" s="29"/>
    </row>
    <row r="1785" spans="13:19" ht="16.5" customHeight="1" x14ac:dyDescent="0.2">
      <c r="M1785" s="29"/>
      <c r="N1785" s="29"/>
      <c r="O1785" s="29"/>
      <c r="P1785" s="29"/>
      <c r="Q1785" s="29"/>
      <c r="R1785" s="29"/>
      <c r="S1785" s="29"/>
    </row>
    <row r="1786" spans="13:19" ht="16.5" customHeight="1" x14ac:dyDescent="0.2">
      <c r="M1786" s="29"/>
      <c r="N1786" s="29"/>
      <c r="O1786" s="29"/>
      <c r="P1786" s="29"/>
      <c r="Q1786" s="29"/>
      <c r="R1786" s="29"/>
      <c r="S1786" s="29"/>
    </row>
    <row r="1787" spans="13:19" ht="16.5" customHeight="1" x14ac:dyDescent="0.2">
      <c r="M1787" s="29"/>
      <c r="N1787" s="29"/>
      <c r="O1787" s="29"/>
      <c r="P1787" s="29"/>
      <c r="Q1787" s="29"/>
      <c r="R1787" s="29"/>
      <c r="S1787" s="29"/>
    </row>
    <row r="1788" spans="13:19" ht="16.5" customHeight="1" x14ac:dyDescent="0.2">
      <c r="M1788" s="29"/>
      <c r="N1788" s="29"/>
      <c r="O1788" s="29"/>
      <c r="P1788" s="29"/>
      <c r="Q1788" s="29"/>
      <c r="R1788" s="29"/>
      <c r="S1788" s="29"/>
    </row>
    <row r="1789" spans="13:19" ht="16.5" customHeight="1" x14ac:dyDescent="0.2">
      <c r="M1789" s="29"/>
      <c r="N1789" s="29"/>
      <c r="O1789" s="29"/>
      <c r="P1789" s="29"/>
      <c r="Q1789" s="29"/>
      <c r="R1789" s="29"/>
      <c r="S1789" s="29"/>
    </row>
    <row r="1790" spans="13:19" ht="16.5" customHeight="1" x14ac:dyDescent="0.2">
      <c r="M1790" s="29"/>
      <c r="N1790" s="29"/>
      <c r="O1790" s="29"/>
      <c r="P1790" s="29"/>
      <c r="Q1790" s="29"/>
      <c r="R1790" s="29"/>
      <c r="S1790" s="29"/>
    </row>
    <row r="1791" spans="13:19" ht="16.5" customHeight="1" x14ac:dyDescent="0.2">
      <c r="M1791" s="29"/>
      <c r="N1791" s="29"/>
      <c r="O1791" s="29"/>
      <c r="P1791" s="29"/>
      <c r="Q1791" s="29"/>
      <c r="R1791" s="29"/>
      <c r="S1791" s="29"/>
    </row>
    <row r="1792" spans="13:19" ht="16.5" customHeight="1" x14ac:dyDescent="0.2">
      <c r="M1792" s="29"/>
      <c r="N1792" s="29"/>
      <c r="O1792" s="29"/>
      <c r="P1792" s="29"/>
      <c r="Q1792" s="29"/>
      <c r="R1792" s="29"/>
      <c r="S1792" s="29"/>
    </row>
    <row r="1793" spans="13:19" ht="16.5" customHeight="1" x14ac:dyDescent="0.2">
      <c r="M1793" s="29"/>
      <c r="N1793" s="29"/>
      <c r="O1793" s="29"/>
      <c r="P1793" s="29"/>
      <c r="Q1793" s="29"/>
      <c r="R1793" s="29"/>
      <c r="S1793" s="29"/>
    </row>
    <row r="1794" spans="13:19" ht="16.5" customHeight="1" x14ac:dyDescent="0.2">
      <c r="M1794" s="29"/>
      <c r="N1794" s="29"/>
      <c r="O1794" s="29"/>
      <c r="P1794" s="29"/>
      <c r="Q1794" s="29"/>
      <c r="R1794" s="29"/>
      <c r="S1794" s="29"/>
    </row>
    <row r="1795" spans="13:19" ht="16.5" customHeight="1" x14ac:dyDescent="0.2">
      <c r="M1795" s="29"/>
      <c r="N1795" s="29"/>
      <c r="O1795" s="29"/>
      <c r="P1795" s="29"/>
      <c r="Q1795" s="29"/>
      <c r="R1795" s="29"/>
      <c r="S1795" s="29"/>
    </row>
    <row r="1796" spans="13:19" ht="16.5" customHeight="1" x14ac:dyDescent="0.2">
      <c r="M1796" s="29"/>
      <c r="N1796" s="29"/>
      <c r="O1796" s="29"/>
      <c r="P1796" s="29"/>
      <c r="Q1796" s="29"/>
      <c r="R1796" s="29"/>
      <c r="S1796" s="29"/>
    </row>
    <row r="1797" spans="13:19" ht="16.5" customHeight="1" x14ac:dyDescent="0.2">
      <c r="M1797" s="29"/>
      <c r="N1797" s="29"/>
      <c r="O1797" s="29"/>
      <c r="P1797" s="29"/>
      <c r="Q1797" s="29"/>
      <c r="R1797" s="29"/>
      <c r="S1797" s="29"/>
    </row>
    <row r="1798" spans="13:19" ht="16.5" customHeight="1" x14ac:dyDescent="0.2">
      <c r="M1798" s="29"/>
      <c r="N1798" s="29"/>
      <c r="O1798" s="29"/>
      <c r="P1798" s="29"/>
      <c r="Q1798" s="29"/>
      <c r="R1798" s="29"/>
      <c r="S1798" s="29"/>
    </row>
    <row r="1799" spans="13:19" ht="16.5" customHeight="1" x14ac:dyDescent="0.2">
      <c r="M1799" s="29"/>
      <c r="N1799" s="29"/>
      <c r="O1799" s="29"/>
      <c r="P1799" s="29"/>
      <c r="Q1799" s="29"/>
      <c r="R1799" s="29"/>
      <c r="S1799" s="29"/>
    </row>
    <row r="1800" spans="13:19" ht="16.5" customHeight="1" x14ac:dyDescent="0.2">
      <c r="M1800" s="29"/>
      <c r="N1800" s="29"/>
      <c r="O1800" s="29"/>
      <c r="P1800" s="29"/>
      <c r="Q1800" s="29"/>
      <c r="R1800" s="29"/>
      <c r="S1800" s="29"/>
    </row>
    <row r="1801" spans="13:19" ht="16.5" customHeight="1" x14ac:dyDescent="0.2">
      <c r="M1801" s="29"/>
      <c r="N1801" s="29"/>
      <c r="O1801" s="29"/>
      <c r="P1801" s="29"/>
      <c r="Q1801" s="29"/>
      <c r="R1801" s="29"/>
      <c r="S1801" s="29"/>
    </row>
    <row r="1802" spans="13:19" ht="16.5" customHeight="1" x14ac:dyDescent="0.2">
      <c r="M1802" s="29"/>
      <c r="N1802" s="29"/>
      <c r="O1802" s="29"/>
      <c r="P1802" s="29"/>
      <c r="Q1802" s="29"/>
      <c r="R1802" s="29"/>
      <c r="S1802" s="29"/>
    </row>
    <row r="1803" spans="13:19" ht="16.5" customHeight="1" x14ac:dyDescent="0.2">
      <c r="M1803" s="29"/>
      <c r="N1803" s="29"/>
      <c r="O1803" s="29"/>
      <c r="P1803" s="29"/>
      <c r="Q1803" s="29"/>
      <c r="R1803" s="29"/>
      <c r="S1803" s="29"/>
    </row>
    <row r="1804" spans="13:19" ht="16.5" customHeight="1" x14ac:dyDescent="0.2">
      <c r="M1804" s="29"/>
      <c r="N1804" s="29"/>
      <c r="O1804" s="29"/>
      <c r="P1804" s="29"/>
      <c r="Q1804" s="29"/>
      <c r="R1804" s="29"/>
      <c r="S1804" s="29"/>
    </row>
    <row r="1805" spans="13:19" ht="16.5" customHeight="1" x14ac:dyDescent="0.2">
      <c r="M1805" s="29"/>
      <c r="N1805" s="29"/>
      <c r="O1805" s="29"/>
      <c r="P1805" s="29"/>
      <c r="Q1805" s="29"/>
      <c r="R1805" s="29"/>
      <c r="S1805" s="29"/>
    </row>
    <row r="1806" spans="13:19" ht="16.5" customHeight="1" x14ac:dyDescent="0.2">
      <c r="M1806" s="29"/>
      <c r="N1806" s="29"/>
      <c r="O1806" s="29"/>
      <c r="P1806" s="29"/>
      <c r="Q1806" s="29"/>
      <c r="R1806" s="29"/>
      <c r="S1806" s="29"/>
    </row>
    <row r="1807" spans="13:19" ht="16.5" customHeight="1" x14ac:dyDescent="0.2">
      <c r="M1807" s="29"/>
      <c r="N1807" s="29"/>
      <c r="O1807" s="29"/>
      <c r="P1807" s="29"/>
      <c r="Q1807" s="29"/>
      <c r="R1807" s="29"/>
      <c r="S1807" s="29"/>
    </row>
    <row r="1808" spans="13:19" ht="16.5" customHeight="1" x14ac:dyDescent="0.2">
      <c r="M1808" s="29"/>
      <c r="N1808" s="29"/>
      <c r="O1808" s="29"/>
      <c r="P1808" s="29"/>
      <c r="Q1808" s="29"/>
      <c r="R1808" s="29"/>
      <c r="S1808" s="29"/>
    </row>
    <row r="1809" spans="13:19" ht="16.5" customHeight="1" x14ac:dyDescent="0.2">
      <c r="M1809" s="29"/>
      <c r="N1809" s="29"/>
      <c r="O1809" s="29"/>
      <c r="P1809" s="29"/>
      <c r="Q1809" s="29"/>
      <c r="R1809" s="29"/>
      <c r="S1809" s="29"/>
    </row>
    <row r="1810" spans="13:19" ht="16.5" customHeight="1" x14ac:dyDescent="0.2">
      <c r="M1810" s="29"/>
      <c r="N1810" s="29"/>
      <c r="O1810" s="29"/>
      <c r="P1810" s="29"/>
      <c r="Q1810" s="29"/>
      <c r="R1810" s="29"/>
      <c r="S1810" s="29"/>
    </row>
    <row r="1811" spans="13:19" ht="16.5" customHeight="1" x14ac:dyDescent="0.2">
      <c r="M1811" s="29"/>
      <c r="N1811" s="29"/>
      <c r="O1811" s="29"/>
      <c r="P1811" s="29"/>
      <c r="Q1811" s="29"/>
      <c r="R1811" s="29"/>
      <c r="S1811" s="29"/>
    </row>
    <row r="1812" spans="13:19" ht="16.5" customHeight="1" x14ac:dyDescent="0.2">
      <c r="M1812" s="29"/>
      <c r="N1812" s="29"/>
      <c r="O1812" s="29"/>
      <c r="P1812" s="29"/>
      <c r="Q1812" s="29"/>
      <c r="R1812" s="29"/>
      <c r="S1812" s="29"/>
    </row>
    <row r="1813" spans="13:19" ht="16.5" customHeight="1" x14ac:dyDescent="0.2">
      <c r="M1813" s="29"/>
      <c r="N1813" s="29"/>
      <c r="O1813" s="29"/>
      <c r="P1813" s="29"/>
      <c r="Q1813" s="29"/>
      <c r="R1813" s="29"/>
      <c r="S1813" s="29"/>
    </row>
    <row r="1814" spans="13:19" ht="16.5" customHeight="1" x14ac:dyDescent="0.2">
      <c r="M1814" s="29"/>
      <c r="N1814" s="29"/>
      <c r="O1814" s="29"/>
      <c r="P1814" s="29"/>
      <c r="Q1814" s="29"/>
      <c r="R1814" s="29"/>
      <c r="S1814" s="29"/>
    </row>
    <row r="1815" spans="13:19" ht="16.5" customHeight="1" x14ac:dyDescent="0.2">
      <c r="M1815" s="29"/>
      <c r="N1815" s="29"/>
      <c r="O1815" s="29"/>
      <c r="P1815" s="29"/>
      <c r="Q1815" s="29"/>
      <c r="R1815" s="29"/>
      <c r="S1815" s="29"/>
    </row>
    <row r="1816" spans="13:19" ht="16.5" customHeight="1" x14ac:dyDescent="0.2">
      <c r="M1816" s="29"/>
      <c r="N1816" s="29"/>
      <c r="O1816" s="29"/>
      <c r="P1816" s="29"/>
      <c r="Q1816" s="29"/>
      <c r="R1816" s="29"/>
      <c r="S1816" s="29"/>
    </row>
    <row r="1817" spans="13:19" ht="16.5" customHeight="1" x14ac:dyDescent="0.2">
      <c r="M1817" s="29"/>
      <c r="N1817" s="29"/>
      <c r="O1817" s="29"/>
      <c r="P1817" s="29"/>
      <c r="Q1817" s="29"/>
      <c r="R1817" s="29"/>
      <c r="S1817" s="29"/>
    </row>
    <row r="1818" spans="13:19" ht="16.5" customHeight="1" x14ac:dyDescent="0.2">
      <c r="M1818" s="29"/>
      <c r="N1818" s="29"/>
      <c r="O1818" s="29"/>
      <c r="P1818" s="29"/>
      <c r="Q1818" s="29"/>
      <c r="R1818" s="29"/>
      <c r="S1818" s="29"/>
    </row>
    <row r="1819" spans="13:19" ht="16.5" customHeight="1" x14ac:dyDescent="0.2">
      <c r="M1819" s="29"/>
      <c r="N1819" s="29"/>
      <c r="O1819" s="29"/>
      <c r="P1819" s="29"/>
      <c r="Q1819" s="29"/>
      <c r="R1819" s="29"/>
      <c r="S1819" s="29"/>
    </row>
    <row r="1820" spans="13:19" ht="16.5" customHeight="1" x14ac:dyDescent="0.2">
      <c r="M1820" s="29"/>
      <c r="N1820" s="29"/>
      <c r="O1820" s="29"/>
      <c r="P1820" s="29"/>
      <c r="Q1820" s="29"/>
      <c r="R1820" s="29"/>
      <c r="S1820" s="29"/>
    </row>
    <row r="1821" spans="13:19" ht="16.5" customHeight="1" x14ac:dyDescent="0.2">
      <c r="M1821" s="29"/>
      <c r="N1821" s="29"/>
      <c r="O1821" s="29"/>
      <c r="P1821" s="29"/>
      <c r="Q1821" s="29"/>
      <c r="R1821" s="29"/>
      <c r="S1821" s="29"/>
    </row>
    <row r="1822" spans="13:19" ht="16.5" customHeight="1" x14ac:dyDescent="0.2">
      <c r="M1822" s="29"/>
      <c r="N1822" s="29"/>
      <c r="O1822" s="29"/>
      <c r="P1822" s="29"/>
      <c r="Q1822" s="29"/>
      <c r="R1822" s="29"/>
      <c r="S1822" s="29"/>
    </row>
    <row r="1823" spans="13:19" ht="16.5" customHeight="1" x14ac:dyDescent="0.2">
      <c r="M1823" s="29"/>
      <c r="N1823" s="29"/>
      <c r="O1823" s="29"/>
      <c r="P1823" s="29"/>
      <c r="Q1823" s="29"/>
      <c r="R1823" s="29"/>
      <c r="S1823" s="29"/>
    </row>
    <row r="1824" spans="13:19" ht="16.5" customHeight="1" x14ac:dyDescent="0.2">
      <c r="M1824" s="29"/>
      <c r="N1824" s="29"/>
      <c r="O1824" s="29"/>
      <c r="P1824" s="29"/>
      <c r="Q1824" s="29"/>
      <c r="R1824" s="29"/>
      <c r="S1824" s="29"/>
    </row>
    <row r="1825" spans="13:19" ht="16.5" customHeight="1" x14ac:dyDescent="0.2">
      <c r="M1825" s="29"/>
      <c r="N1825" s="29"/>
      <c r="O1825" s="29"/>
      <c r="P1825" s="29"/>
      <c r="Q1825" s="29"/>
      <c r="R1825" s="29"/>
      <c r="S1825" s="29"/>
    </row>
    <row r="1826" spans="13:19" ht="16.5" customHeight="1" x14ac:dyDescent="0.2">
      <c r="M1826" s="29"/>
      <c r="N1826" s="29"/>
      <c r="O1826" s="29"/>
      <c r="P1826" s="29"/>
      <c r="Q1826" s="29"/>
      <c r="R1826" s="29"/>
      <c r="S1826" s="29"/>
    </row>
    <row r="1827" spans="13:19" ht="16.5" customHeight="1" x14ac:dyDescent="0.2">
      <c r="M1827" s="29"/>
      <c r="N1827" s="29"/>
      <c r="O1827" s="29"/>
      <c r="P1827" s="29"/>
      <c r="Q1827" s="29"/>
      <c r="R1827" s="29"/>
      <c r="S1827" s="29"/>
    </row>
    <row r="1828" spans="13:19" ht="16.5" customHeight="1" x14ac:dyDescent="0.2">
      <c r="M1828" s="29"/>
      <c r="N1828" s="29"/>
      <c r="O1828" s="29"/>
      <c r="P1828" s="29"/>
      <c r="Q1828" s="29"/>
      <c r="R1828" s="29"/>
      <c r="S1828" s="29"/>
    </row>
    <row r="1829" spans="13:19" ht="16.5" customHeight="1" x14ac:dyDescent="0.2">
      <c r="M1829" s="29"/>
      <c r="N1829" s="29"/>
      <c r="O1829" s="29"/>
      <c r="P1829" s="29"/>
      <c r="Q1829" s="29"/>
      <c r="R1829" s="29"/>
      <c r="S1829" s="29"/>
    </row>
    <row r="1830" spans="13:19" ht="16.5" customHeight="1" x14ac:dyDescent="0.2">
      <c r="M1830" s="29"/>
      <c r="N1830" s="29"/>
      <c r="O1830" s="29"/>
      <c r="P1830" s="29"/>
      <c r="Q1830" s="29"/>
      <c r="R1830" s="29"/>
      <c r="S1830" s="29"/>
    </row>
    <row r="1831" spans="13:19" ht="16.5" customHeight="1" x14ac:dyDescent="0.2">
      <c r="M1831" s="29"/>
      <c r="N1831" s="29"/>
      <c r="O1831" s="29"/>
      <c r="P1831" s="29"/>
      <c r="Q1831" s="29"/>
      <c r="R1831" s="29"/>
      <c r="S1831" s="29"/>
    </row>
    <row r="1832" spans="13:19" ht="16.5" customHeight="1" x14ac:dyDescent="0.2">
      <c r="M1832" s="29"/>
      <c r="N1832" s="29"/>
      <c r="O1832" s="29"/>
      <c r="P1832" s="29"/>
      <c r="Q1832" s="29"/>
      <c r="R1832" s="29"/>
      <c r="S1832" s="29"/>
    </row>
    <row r="1833" spans="13:19" ht="16.5" customHeight="1" x14ac:dyDescent="0.2">
      <c r="M1833" s="29"/>
      <c r="N1833" s="29"/>
      <c r="O1833" s="29"/>
      <c r="P1833" s="29"/>
      <c r="Q1833" s="29"/>
      <c r="R1833" s="29"/>
      <c r="S1833" s="29"/>
    </row>
    <row r="1834" spans="13:19" ht="16.5" customHeight="1" x14ac:dyDescent="0.2">
      <c r="M1834" s="29"/>
      <c r="N1834" s="29"/>
      <c r="O1834" s="29"/>
      <c r="P1834" s="29"/>
      <c r="Q1834" s="29"/>
      <c r="R1834" s="29"/>
      <c r="S1834" s="29"/>
    </row>
    <row r="1835" spans="13:19" ht="16.5" customHeight="1" x14ac:dyDescent="0.2">
      <c r="M1835" s="29"/>
      <c r="N1835" s="29"/>
      <c r="O1835" s="29"/>
      <c r="P1835" s="29"/>
      <c r="Q1835" s="29"/>
      <c r="R1835" s="29"/>
      <c r="S1835" s="29"/>
    </row>
    <row r="1836" spans="13:19" ht="16.5" customHeight="1" x14ac:dyDescent="0.2">
      <c r="M1836" s="29"/>
      <c r="N1836" s="29"/>
      <c r="O1836" s="29"/>
      <c r="P1836" s="29"/>
      <c r="Q1836" s="29"/>
      <c r="R1836" s="29"/>
      <c r="S1836" s="29"/>
    </row>
    <row r="1837" spans="13:19" ht="16.5" customHeight="1" x14ac:dyDescent="0.2">
      <c r="M1837" s="29"/>
      <c r="N1837" s="29"/>
      <c r="O1837" s="29"/>
      <c r="P1837" s="29"/>
      <c r="Q1837" s="29"/>
      <c r="R1837" s="29"/>
      <c r="S1837" s="29"/>
    </row>
    <row r="1838" spans="13:19" ht="16.5" customHeight="1" x14ac:dyDescent="0.2">
      <c r="M1838" s="29"/>
      <c r="N1838" s="29"/>
      <c r="O1838" s="29"/>
      <c r="P1838" s="29"/>
      <c r="Q1838" s="29"/>
      <c r="R1838" s="29"/>
      <c r="S1838" s="29"/>
    </row>
    <row r="1839" spans="13:19" ht="16.5" customHeight="1" x14ac:dyDescent="0.2">
      <c r="M1839" s="29"/>
      <c r="N1839" s="29"/>
      <c r="O1839" s="29"/>
      <c r="P1839" s="29"/>
      <c r="Q1839" s="29"/>
      <c r="R1839" s="29"/>
      <c r="S1839" s="29"/>
    </row>
    <row r="1840" spans="13:19" ht="16.5" customHeight="1" x14ac:dyDescent="0.2">
      <c r="M1840" s="29"/>
      <c r="N1840" s="29"/>
      <c r="O1840" s="29"/>
      <c r="P1840" s="29"/>
      <c r="Q1840" s="29"/>
      <c r="R1840" s="29"/>
      <c r="S1840" s="29"/>
    </row>
    <row r="1841" spans="13:19" ht="16.5" customHeight="1" x14ac:dyDescent="0.2">
      <c r="M1841" s="29"/>
      <c r="N1841" s="29"/>
      <c r="O1841" s="29"/>
      <c r="P1841" s="29"/>
      <c r="Q1841" s="29"/>
      <c r="R1841" s="29"/>
      <c r="S1841" s="29"/>
    </row>
    <row r="1842" spans="13:19" ht="16.5" customHeight="1" x14ac:dyDescent="0.2">
      <c r="M1842" s="29"/>
      <c r="N1842" s="29"/>
      <c r="O1842" s="29"/>
      <c r="P1842" s="29"/>
      <c r="Q1842" s="29"/>
      <c r="R1842" s="29"/>
      <c r="S1842" s="29"/>
    </row>
    <row r="1843" spans="13:19" ht="16.5" customHeight="1" x14ac:dyDescent="0.2">
      <c r="M1843" s="29"/>
      <c r="N1843" s="29"/>
      <c r="O1843" s="29"/>
      <c r="P1843" s="29"/>
      <c r="Q1843" s="29"/>
      <c r="R1843" s="29"/>
      <c r="S1843" s="29"/>
    </row>
    <row r="1844" spans="13:19" ht="16.5" customHeight="1" x14ac:dyDescent="0.2">
      <c r="M1844" s="29"/>
      <c r="N1844" s="29"/>
      <c r="O1844" s="29"/>
      <c r="P1844" s="29"/>
      <c r="Q1844" s="29"/>
      <c r="R1844" s="29"/>
      <c r="S1844" s="29"/>
    </row>
    <row r="1845" spans="13:19" ht="16.5" customHeight="1" x14ac:dyDescent="0.2">
      <c r="M1845" s="29"/>
      <c r="N1845" s="29"/>
      <c r="O1845" s="29"/>
      <c r="P1845" s="29"/>
      <c r="Q1845" s="29"/>
      <c r="R1845" s="29"/>
      <c r="S1845" s="29"/>
    </row>
    <row r="1846" spans="13:19" ht="16.5" customHeight="1" x14ac:dyDescent="0.2">
      <c r="M1846" s="29"/>
      <c r="N1846" s="29"/>
      <c r="O1846" s="29"/>
      <c r="P1846" s="29"/>
      <c r="Q1846" s="29"/>
      <c r="R1846" s="29"/>
      <c r="S1846" s="29"/>
    </row>
    <row r="1847" spans="13:19" ht="16.5" customHeight="1" x14ac:dyDescent="0.2">
      <c r="M1847" s="29"/>
      <c r="N1847" s="29"/>
      <c r="O1847" s="29"/>
      <c r="P1847" s="29"/>
      <c r="Q1847" s="29"/>
      <c r="R1847" s="29"/>
      <c r="S1847" s="29"/>
    </row>
    <row r="1848" spans="13:19" ht="16.5" customHeight="1" x14ac:dyDescent="0.2">
      <c r="M1848" s="29"/>
      <c r="N1848" s="29"/>
      <c r="O1848" s="29"/>
      <c r="P1848" s="29"/>
      <c r="Q1848" s="29"/>
      <c r="R1848" s="29"/>
      <c r="S1848" s="29"/>
    </row>
    <row r="1849" spans="13:19" ht="16.5" customHeight="1" x14ac:dyDescent="0.2">
      <c r="M1849" s="29"/>
      <c r="N1849" s="29"/>
      <c r="O1849" s="29"/>
      <c r="P1849" s="29"/>
      <c r="Q1849" s="29"/>
      <c r="R1849" s="29"/>
      <c r="S1849" s="29"/>
    </row>
    <row r="1850" spans="13:19" ht="16.5" customHeight="1" x14ac:dyDescent="0.2">
      <c r="M1850" s="29"/>
      <c r="N1850" s="29"/>
      <c r="O1850" s="29"/>
      <c r="P1850" s="29"/>
      <c r="Q1850" s="29"/>
      <c r="R1850" s="29"/>
      <c r="S1850" s="29"/>
    </row>
    <row r="1851" spans="13:19" ht="16.5" customHeight="1" x14ac:dyDescent="0.2">
      <c r="M1851" s="29"/>
      <c r="N1851" s="29"/>
      <c r="O1851" s="29"/>
      <c r="P1851" s="29"/>
      <c r="Q1851" s="29"/>
      <c r="R1851" s="29"/>
      <c r="S1851" s="29"/>
    </row>
    <row r="1852" spans="13:19" ht="16.5" customHeight="1" x14ac:dyDescent="0.2">
      <c r="M1852" s="29"/>
      <c r="N1852" s="29"/>
      <c r="O1852" s="29"/>
      <c r="P1852" s="29"/>
      <c r="Q1852" s="29"/>
      <c r="R1852" s="29"/>
      <c r="S1852" s="29"/>
    </row>
    <row r="1853" spans="13:19" ht="16.5" customHeight="1" x14ac:dyDescent="0.2">
      <c r="M1853" s="29"/>
      <c r="N1853" s="29"/>
      <c r="O1853" s="29"/>
      <c r="P1853" s="29"/>
      <c r="Q1853" s="29"/>
      <c r="R1853" s="29"/>
      <c r="S1853" s="29"/>
    </row>
    <row r="1854" spans="13:19" ht="16.5" customHeight="1" x14ac:dyDescent="0.2">
      <c r="M1854" s="29"/>
      <c r="N1854" s="29"/>
      <c r="O1854" s="29"/>
      <c r="P1854" s="29"/>
      <c r="Q1854" s="29"/>
      <c r="R1854" s="29"/>
      <c r="S1854" s="29"/>
    </row>
    <row r="1855" spans="13:19" ht="16.5" customHeight="1" x14ac:dyDescent="0.2">
      <c r="M1855" s="29"/>
      <c r="N1855" s="29"/>
      <c r="O1855" s="29"/>
      <c r="P1855" s="29"/>
      <c r="Q1855" s="29"/>
      <c r="R1855" s="29"/>
      <c r="S1855" s="29"/>
    </row>
    <row r="1856" spans="13:19" ht="16.5" customHeight="1" x14ac:dyDescent="0.2">
      <c r="M1856" s="29"/>
      <c r="N1856" s="29"/>
      <c r="O1856" s="29"/>
      <c r="P1856" s="29"/>
      <c r="Q1856" s="29"/>
      <c r="R1856" s="29"/>
      <c r="S1856" s="29"/>
    </row>
    <row r="1857" spans="13:19" ht="16.5" customHeight="1" x14ac:dyDescent="0.2">
      <c r="M1857" s="29"/>
      <c r="N1857" s="29"/>
      <c r="O1857" s="29"/>
      <c r="P1857" s="29"/>
      <c r="Q1857" s="29"/>
      <c r="R1857" s="29"/>
      <c r="S1857" s="29"/>
    </row>
    <row r="1858" spans="13:19" ht="16.5" customHeight="1" x14ac:dyDescent="0.2">
      <c r="M1858" s="29"/>
      <c r="N1858" s="29"/>
      <c r="O1858" s="29"/>
      <c r="P1858" s="29"/>
      <c r="Q1858" s="29"/>
      <c r="R1858" s="29"/>
      <c r="S1858" s="29"/>
    </row>
    <row r="1859" spans="13:19" ht="16.5" customHeight="1" x14ac:dyDescent="0.2">
      <c r="M1859" s="29"/>
      <c r="N1859" s="29"/>
      <c r="O1859" s="29"/>
      <c r="P1859" s="29"/>
      <c r="Q1859" s="29"/>
      <c r="R1859" s="29"/>
      <c r="S1859" s="29"/>
    </row>
    <row r="1860" spans="13:19" ht="16.5" customHeight="1" x14ac:dyDescent="0.2">
      <c r="M1860" s="29"/>
      <c r="N1860" s="29"/>
      <c r="O1860" s="29"/>
      <c r="P1860" s="29"/>
      <c r="Q1860" s="29"/>
      <c r="R1860" s="29"/>
      <c r="S1860" s="29"/>
    </row>
    <row r="1861" spans="13:19" ht="16.5" customHeight="1" x14ac:dyDescent="0.2">
      <c r="M1861" s="29"/>
      <c r="N1861" s="29"/>
      <c r="O1861" s="29"/>
      <c r="P1861" s="29"/>
      <c r="Q1861" s="29"/>
      <c r="R1861" s="29"/>
      <c r="S1861" s="29"/>
    </row>
    <row r="1862" spans="13:19" ht="16.5" customHeight="1" x14ac:dyDescent="0.2">
      <c r="M1862" s="29"/>
      <c r="N1862" s="29"/>
      <c r="O1862" s="29"/>
      <c r="P1862" s="29"/>
      <c r="Q1862" s="29"/>
      <c r="R1862" s="29"/>
      <c r="S1862" s="29"/>
    </row>
    <row r="1863" spans="13:19" ht="16.5" customHeight="1" x14ac:dyDescent="0.2">
      <c r="M1863" s="29"/>
      <c r="N1863" s="29"/>
      <c r="O1863" s="29"/>
      <c r="P1863" s="29"/>
      <c r="Q1863" s="29"/>
      <c r="R1863" s="29"/>
      <c r="S1863" s="29"/>
    </row>
    <row r="1864" spans="13:19" ht="16.5" customHeight="1" x14ac:dyDescent="0.2">
      <c r="M1864" s="29"/>
      <c r="N1864" s="29"/>
      <c r="O1864" s="29"/>
      <c r="P1864" s="29"/>
      <c r="Q1864" s="29"/>
      <c r="R1864" s="29"/>
      <c r="S1864" s="29"/>
    </row>
    <row r="1865" spans="13:19" ht="16.5" customHeight="1" x14ac:dyDescent="0.2">
      <c r="M1865" s="29"/>
      <c r="N1865" s="29"/>
      <c r="O1865" s="29"/>
      <c r="P1865" s="29"/>
      <c r="Q1865" s="29"/>
      <c r="R1865" s="29"/>
      <c r="S1865" s="29"/>
    </row>
    <row r="1866" spans="13:19" ht="16.5" customHeight="1" x14ac:dyDescent="0.2">
      <c r="M1866" s="29"/>
      <c r="N1866" s="29"/>
      <c r="O1866" s="29"/>
      <c r="P1866" s="29"/>
      <c r="Q1866" s="29"/>
      <c r="R1866" s="29"/>
      <c r="S1866" s="29"/>
    </row>
    <row r="1867" spans="13:19" ht="16.5" customHeight="1" x14ac:dyDescent="0.2">
      <c r="M1867" s="29"/>
      <c r="N1867" s="29"/>
      <c r="O1867" s="29"/>
      <c r="P1867" s="29"/>
      <c r="Q1867" s="29"/>
      <c r="R1867" s="29"/>
      <c r="S1867" s="29"/>
    </row>
    <row r="1868" spans="13:19" ht="16.5" customHeight="1" x14ac:dyDescent="0.2">
      <c r="M1868" s="29"/>
      <c r="N1868" s="29"/>
      <c r="O1868" s="29"/>
      <c r="P1868" s="29"/>
      <c r="Q1868" s="29"/>
      <c r="R1868" s="29"/>
      <c r="S1868" s="29"/>
    </row>
    <row r="1869" spans="13:19" ht="16.5" customHeight="1" x14ac:dyDescent="0.2">
      <c r="M1869" s="29"/>
      <c r="N1869" s="29"/>
      <c r="O1869" s="29"/>
      <c r="P1869" s="29"/>
      <c r="Q1869" s="29"/>
      <c r="R1869" s="29"/>
      <c r="S1869" s="29"/>
    </row>
    <row r="1870" spans="13:19" ht="16.5" customHeight="1" x14ac:dyDescent="0.2">
      <c r="M1870" s="29"/>
      <c r="N1870" s="29"/>
      <c r="O1870" s="29"/>
      <c r="P1870" s="29"/>
      <c r="Q1870" s="29"/>
      <c r="R1870" s="29"/>
      <c r="S1870" s="29"/>
    </row>
    <row r="1871" spans="13:19" ht="16.5" customHeight="1" x14ac:dyDescent="0.2">
      <c r="M1871" s="29"/>
      <c r="N1871" s="29"/>
      <c r="O1871" s="29"/>
      <c r="P1871" s="29"/>
      <c r="Q1871" s="29"/>
      <c r="R1871" s="29"/>
      <c r="S1871" s="29"/>
    </row>
    <row r="1872" spans="13:19" ht="16.5" customHeight="1" x14ac:dyDescent="0.2">
      <c r="M1872" s="29"/>
      <c r="N1872" s="29"/>
      <c r="O1872" s="29"/>
      <c r="P1872" s="29"/>
      <c r="Q1872" s="29"/>
      <c r="R1872" s="29"/>
      <c r="S1872" s="29"/>
    </row>
    <row r="1873" spans="13:19" ht="16.5" customHeight="1" x14ac:dyDescent="0.2">
      <c r="M1873" s="29"/>
      <c r="N1873" s="29"/>
      <c r="O1873" s="29"/>
      <c r="P1873" s="29"/>
      <c r="Q1873" s="29"/>
      <c r="R1873" s="29"/>
      <c r="S1873" s="29"/>
    </row>
    <row r="1874" spans="13:19" ht="16.5" customHeight="1" x14ac:dyDescent="0.2">
      <c r="M1874" s="29"/>
      <c r="N1874" s="29"/>
      <c r="O1874" s="29"/>
      <c r="P1874" s="29"/>
      <c r="Q1874" s="29"/>
      <c r="R1874" s="29"/>
      <c r="S1874" s="29"/>
    </row>
    <row r="1875" spans="13:19" ht="16.5" customHeight="1" x14ac:dyDescent="0.2">
      <c r="M1875" s="29"/>
      <c r="N1875" s="29"/>
      <c r="O1875" s="29"/>
      <c r="P1875" s="29"/>
      <c r="Q1875" s="29"/>
      <c r="R1875" s="29"/>
      <c r="S1875" s="29"/>
    </row>
    <row r="1876" spans="13:19" ht="16.5" customHeight="1" x14ac:dyDescent="0.2">
      <c r="M1876" s="29"/>
      <c r="N1876" s="29"/>
      <c r="O1876" s="29"/>
      <c r="P1876" s="29"/>
      <c r="Q1876" s="29"/>
      <c r="R1876" s="29"/>
      <c r="S1876" s="29"/>
    </row>
    <row r="1877" spans="13:19" ht="16.5" customHeight="1" x14ac:dyDescent="0.2">
      <c r="M1877" s="29"/>
      <c r="N1877" s="29"/>
      <c r="O1877" s="29"/>
      <c r="P1877" s="29"/>
      <c r="Q1877" s="29"/>
      <c r="R1877" s="29"/>
      <c r="S1877" s="29"/>
    </row>
    <row r="1878" spans="13:19" ht="16.5" customHeight="1" x14ac:dyDescent="0.2">
      <c r="M1878" s="29"/>
      <c r="N1878" s="29"/>
      <c r="O1878" s="29"/>
      <c r="P1878" s="29"/>
      <c r="Q1878" s="29"/>
      <c r="R1878" s="29"/>
      <c r="S1878" s="29"/>
    </row>
    <row r="1879" spans="13:19" ht="16.5" customHeight="1" x14ac:dyDescent="0.2">
      <c r="M1879" s="29"/>
      <c r="N1879" s="29"/>
      <c r="O1879" s="29"/>
      <c r="P1879" s="29"/>
      <c r="Q1879" s="29"/>
      <c r="R1879" s="29"/>
      <c r="S1879" s="29"/>
    </row>
    <row r="1880" spans="13:19" ht="16.5" customHeight="1" x14ac:dyDescent="0.2">
      <c r="M1880" s="29"/>
      <c r="N1880" s="29"/>
      <c r="O1880" s="29"/>
      <c r="P1880" s="29"/>
      <c r="Q1880" s="29"/>
      <c r="R1880" s="29"/>
      <c r="S1880" s="29"/>
    </row>
    <row r="1881" spans="13:19" ht="16.5" customHeight="1" x14ac:dyDescent="0.2">
      <c r="M1881" s="29"/>
      <c r="N1881" s="29"/>
      <c r="O1881" s="29"/>
      <c r="P1881" s="29"/>
      <c r="Q1881" s="29"/>
      <c r="R1881" s="29"/>
      <c r="S1881" s="29"/>
    </row>
    <row r="1882" spans="13:19" ht="16.5" customHeight="1" x14ac:dyDescent="0.2">
      <c r="M1882" s="29"/>
      <c r="N1882" s="29"/>
      <c r="O1882" s="29"/>
      <c r="P1882" s="29"/>
      <c r="Q1882" s="29"/>
      <c r="R1882" s="29"/>
      <c r="S1882" s="29"/>
    </row>
    <row r="1883" spans="13:19" ht="16.5" customHeight="1" x14ac:dyDescent="0.2">
      <c r="M1883" s="29"/>
      <c r="N1883" s="29"/>
      <c r="O1883" s="29"/>
      <c r="P1883" s="29"/>
      <c r="Q1883" s="29"/>
      <c r="R1883" s="29"/>
      <c r="S1883" s="29"/>
    </row>
    <row r="1884" spans="13:19" ht="16.5" customHeight="1" x14ac:dyDescent="0.2">
      <c r="M1884" s="29"/>
      <c r="N1884" s="29"/>
      <c r="O1884" s="29"/>
      <c r="P1884" s="29"/>
      <c r="Q1884" s="29"/>
      <c r="R1884" s="29"/>
      <c r="S1884" s="29"/>
    </row>
    <row r="1885" spans="13:19" ht="16.5" customHeight="1" x14ac:dyDescent="0.2">
      <c r="M1885" s="29"/>
      <c r="N1885" s="29"/>
      <c r="O1885" s="29"/>
      <c r="P1885" s="29"/>
      <c r="Q1885" s="29"/>
      <c r="R1885" s="29"/>
      <c r="S1885" s="29"/>
    </row>
    <row r="1886" spans="13:19" ht="16.5" customHeight="1" x14ac:dyDescent="0.2">
      <c r="M1886" s="29"/>
      <c r="N1886" s="29"/>
      <c r="O1886" s="29"/>
      <c r="P1886" s="29"/>
      <c r="Q1886" s="29"/>
      <c r="R1886" s="29"/>
      <c r="S1886" s="29"/>
    </row>
    <row r="1887" spans="13:19" ht="16.5" customHeight="1" x14ac:dyDescent="0.2">
      <c r="M1887" s="29"/>
      <c r="N1887" s="29"/>
      <c r="O1887" s="29"/>
      <c r="P1887" s="29"/>
      <c r="Q1887" s="29"/>
      <c r="R1887" s="29"/>
      <c r="S1887" s="29"/>
    </row>
    <row r="1888" spans="13:19" ht="16.5" customHeight="1" x14ac:dyDescent="0.2">
      <c r="M1888" s="29"/>
      <c r="N1888" s="29"/>
      <c r="O1888" s="29"/>
      <c r="P1888" s="29"/>
      <c r="Q1888" s="29"/>
      <c r="R1888" s="29"/>
      <c r="S1888" s="29"/>
    </row>
    <row r="1889" spans="13:19" ht="16.5" customHeight="1" x14ac:dyDescent="0.2">
      <c r="M1889" s="29"/>
      <c r="N1889" s="29"/>
      <c r="O1889" s="29"/>
      <c r="P1889" s="29"/>
      <c r="Q1889" s="29"/>
      <c r="R1889" s="29"/>
      <c r="S1889" s="29"/>
    </row>
    <row r="1890" spans="13:19" ht="16.5" customHeight="1" x14ac:dyDescent="0.2">
      <c r="M1890" s="29"/>
      <c r="N1890" s="29"/>
      <c r="O1890" s="29"/>
      <c r="P1890" s="29"/>
      <c r="Q1890" s="29"/>
      <c r="R1890" s="29"/>
      <c r="S1890" s="29"/>
    </row>
    <row r="1891" spans="13:19" ht="16.5" customHeight="1" x14ac:dyDescent="0.2">
      <c r="M1891" s="29"/>
      <c r="N1891" s="29"/>
      <c r="O1891" s="29"/>
      <c r="P1891" s="29"/>
      <c r="Q1891" s="29"/>
      <c r="R1891" s="29"/>
      <c r="S1891" s="29"/>
    </row>
    <row r="1892" spans="13:19" ht="16.5" customHeight="1" x14ac:dyDescent="0.2">
      <c r="M1892" s="29"/>
      <c r="N1892" s="29"/>
      <c r="O1892" s="29"/>
      <c r="P1892" s="29"/>
      <c r="Q1892" s="29"/>
      <c r="R1892" s="29"/>
      <c r="S1892" s="29"/>
    </row>
    <row r="1893" spans="13:19" ht="16.5" customHeight="1" x14ac:dyDescent="0.2">
      <c r="M1893" s="29"/>
      <c r="N1893" s="29"/>
      <c r="O1893" s="29"/>
      <c r="P1893" s="29"/>
      <c r="Q1893" s="29"/>
      <c r="R1893" s="29"/>
      <c r="S1893" s="29"/>
    </row>
    <row r="1894" spans="13:19" ht="16.5" customHeight="1" x14ac:dyDescent="0.2">
      <c r="M1894" s="29"/>
      <c r="N1894" s="29"/>
      <c r="O1894" s="29"/>
      <c r="P1894" s="29"/>
      <c r="Q1894" s="29"/>
      <c r="R1894" s="29"/>
      <c r="S1894" s="29"/>
    </row>
    <row r="1895" spans="13:19" ht="16.5" customHeight="1" x14ac:dyDescent="0.2">
      <c r="M1895" s="29"/>
      <c r="N1895" s="29"/>
      <c r="O1895" s="29"/>
      <c r="P1895" s="29"/>
      <c r="Q1895" s="29"/>
      <c r="R1895" s="29"/>
      <c r="S1895" s="29"/>
    </row>
    <row r="1896" spans="13:19" ht="16.5" customHeight="1" x14ac:dyDescent="0.2">
      <c r="M1896" s="29"/>
      <c r="N1896" s="29"/>
      <c r="O1896" s="29"/>
      <c r="P1896" s="29"/>
      <c r="Q1896" s="29"/>
      <c r="R1896" s="29"/>
      <c r="S1896" s="29"/>
    </row>
    <row r="1897" spans="13:19" ht="16.5" customHeight="1" x14ac:dyDescent="0.2">
      <c r="M1897" s="29"/>
      <c r="N1897" s="29"/>
      <c r="O1897" s="29"/>
      <c r="P1897" s="29"/>
      <c r="Q1897" s="29"/>
      <c r="R1897" s="29"/>
      <c r="S1897" s="29"/>
    </row>
    <row r="1898" spans="13:19" ht="16.5" customHeight="1" x14ac:dyDescent="0.2">
      <c r="M1898" s="29"/>
      <c r="N1898" s="29"/>
      <c r="O1898" s="29"/>
      <c r="P1898" s="29"/>
      <c r="Q1898" s="29"/>
      <c r="R1898" s="29"/>
      <c r="S1898" s="29"/>
    </row>
    <row r="1899" spans="13:19" ht="16.5" customHeight="1" x14ac:dyDescent="0.2">
      <c r="M1899" s="29"/>
      <c r="N1899" s="29"/>
      <c r="O1899" s="29"/>
      <c r="P1899" s="29"/>
      <c r="Q1899" s="29"/>
      <c r="R1899" s="29"/>
      <c r="S1899" s="29"/>
    </row>
    <row r="1900" spans="13:19" ht="16.5" customHeight="1" x14ac:dyDescent="0.2">
      <c r="M1900" s="29"/>
      <c r="N1900" s="29"/>
      <c r="O1900" s="29"/>
      <c r="P1900" s="29"/>
      <c r="Q1900" s="29"/>
      <c r="R1900" s="29"/>
      <c r="S1900" s="29"/>
    </row>
    <row r="1901" spans="13:19" ht="16.5" customHeight="1" x14ac:dyDescent="0.2">
      <c r="M1901" s="29"/>
      <c r="N1901" s="29"/>
      <c r="O1901" s="29"/>
      <c r="P1901" s="29"/>
      <c r="Q1901" s="29"/>
      <c r="R1901" s="29"/>
      <c r="S1901" s="29"/>
    </row>
    <row r="1902" spans="13:19" ht="16.5" customHeight="1" x14ac:dyDescent="0.2">
      <c r="M1902" s="29"/>
      <c r="N1902" s="29"/>
      <c r="O1902" s="29"/>
      <c r="P1902" s="29"/>
      <c r="Q1902" s="29"/>
      <c r="R1902" s="29"/>
      <c r="S1902" s="29"/>
    </row>
    <row r="1903" spans="13:19" ht="16.5" customHeight="1" x14ac:dyDescent="0.2">
      <c r="M1903" s="29"/>
      <c r="N1903" s="29"/>
      <c r="O1903" s="29"/>
      <c r="P1903" s="29"/>
      <c r="Q1903" s="29"/>
      <c r="R1903" s="29"/>
      <c r="S1903" s="29"/>
    </row>
    <row r="1904" spans="13:19" ht="16.5" customHeight="1" x14ac:dyDescent="0.2">
      <c r="M1904" s="29"/>
      <c r="N1904" s="29"/>
      <c r="O1904" s="29"/>
      <c r="P1904" s="29"/>
      <c r="Q1904" s="29"/>
      <c r="R1904" s="29"/>
      <c r="S1904" s="29"/>
    </row>
    <row r="1905" spans="13:19" ht="16.5" customHeight="1" x14ac:dyDescent="0.2">
      <c r="M1905" s="29"/>
      <c r="N1905" s="29"/>
      <c r="O1905" s="29"/>
      <c r="P1905" s="29"/>
      <c r="Q1905" s="29"/>
      <c r="R1905" s="29"/>
      <c r="S1905" s="29"/>
    </row>
    <row r="1906" spans="13:19" ht="16.5" customHeight="1" x14ac:dyDescent="0.2">
      <c r="M1906" s="29"/>
      <c r="N1906" s="29"/>
      <c r="O1906" s="29"/>
      <c r="P1906" s="29"/>
      <c r="Q1906" s="29"/>
      <c r="R1906" s="29"/>
      <c r="S1906" s="29"/>
    </row>
    <row r="1907" spans="13:19" ht="16.5" customHeight="1" x14ac:dyDescent="0.2">
      <c r="M1907" s="29"/>
      <c r="N1907" s="29"/>
      <c r="O1907" s="29"/>
      <c r="P1907" s="29"/>
      <c r="Q1907" s="29"/>
      <c r="R1907" s="29"/>
      <c r="S1907" s="29"/>
    </row>
    <row r="1908" spans="13:19" ht="16.5" customHeight="1" x14ac:dyDescent="0.2">
      <c r="M1908" s="29"/>
      <c r="N1908" s="29"/>
      <c r="O1908" s="29"/>
      <c r="P1908" s="29"/>
      <c r="Q1908" s="29"/>
      <c r="R1908" s="29"/>
      <c r="S1908" s="29"/>
    </row>
    <row r="1909" spans="13:19" ht="16.5" customHeight="1" x14ac:dyDescent="0.2">
      <c r="M1909" s="29"/>
      <c r="N1909" s="29"/>
      <c r="O1909" s="29"/>
      <c r="P1909" s="29"/>
      <c r="Q1909" s="29"/>
      <c r="R1909" s="29"/>
      <c r="S1909" s="29"/>
    </row>
    <row r="1910" spans="13:19" ht="16.5" customHeight="1" x14ac:dyDescent="0.2">
      <c r="M1910" s="29"/>
      <c r="N1910" s="29"/>
      <c r="O1910" s="29"/>
      <c r="P1910" s="29"/>
      <c r="Q1910" s="29"/>
      <c r="R1910" s="29"/>
      <c r="S1910" s="29"/>
    </row>
    <row r="1911" spans="13:19" ht="16.5" customHeight="1" x14ac:dyDescent="0.2">
      <c r="M1911" s="29"/>
      <c r="N1911" s="29"/>
      <c r="O1911" s="29"/>
      <c r="P1911" s="29"/>
      <c r="Q1911" s="29"/>
      <c r="R1911" s="29"/>
      <c r="S1911" s="29"/>
    </row>
    <row r="1912" spans="13:19" ht="16.5" customHeight="1" x14ac:dyDescent="0.2">
      <c r="M1912" s="29"/>
      <c r="N1912" s="29"/>
      <c r="O1912" s="29"/>
      <c r="P1912" s="29"/>
      <c r="Q1912" s="29"/>
      <c r="R1912" s="29"/>
      <c r="S1912" s="29"/>
    </row>
    <row r="1913" spans="13:19" ht="16.5" customHeight="1" x14ac:dyDescent="0.2">
      <c r="M1913" s="29"/>
      <c r="N1913" s="29"/>
      <c r="O1913" s="29"/>
      <c r="P1913" s="29"/>
      <c r="Q1913" s="29"/>
      <c r="R1913" s="29"/>
      <c r="S1913" s="29"/>
    </row>
    <row r="1914" spans="13:19" ht="16.5" customHeight="1" x14ac:dyDescent="0.2">
      <c r="M1914" s="29"/>
      <c r="N1914" s="29"/>
      <c r="O1914" s="29"/>
      <c r="P1914" s="29"/>
      <c r="Q1914" s="29"/>
      <c r="R1914" s="29"/>
      <c r="S1914" s="29"/>
    </row>
    <row r="1915" spans="13:19" ht="16.5" customHeight="1" x14ac:dyDescent="0.2">
      <c r="M1915" s="29"/>
      <c r="N1915" s="29"/>
      <c r="O1915" s="29"/>
      <c r="P1915" s="29"/>
      <c r="Q1915" s="29"/>
      <c r="R1915" s="29"/>
      <c r="S1915" s="29"/>
    </row>
    <row r="1916" spans="13:19" ht="16.5" customHeight="1" x14ac:dyDescent="0.2">
      <c r="M1916" s="29"/>
      <c r="N1916" s="29"/>
      <c r="O1916" s="29"/>
      <c r="P1916" s="29"/>
      <c r="Q1916" s="29"/>
      <c r="R1916" s="29"/>
      <c r="S1916" s="29"/>
    </row>
    <row r="1917" spans="13:19" ht="16.5" customHeight="1" x14ac:dyDescent="0.2">
      <c r="M1917" s="29"/>
      <c r="N1917" s="29"/>
      <c r="O1917" s="29"/>
      <c r="P1917" s="29"/>
      <c r="Q1917" s="29"/>
      <c r="R1917" s="29"/>
      <c r="S1917" s="29"/>
    </row>
    <row r="1918" spans="13:19" ht="16.5" customHeight="1" x14ac:dyDescent="0.2">
      <c r="M1918" s="29"/>
      <c r="N1918" s="29"/>
      <c r="O1918" s="29"/>
      <c r="P1918" s="29"/>
      <c r="Q1918" s="29"/>
      <c r="R1918" s="29"/>
      <c r="S1918" s="29"/>
    </row>
    <row r="1919" spans="13:19" ht="16.5" customHeight="1" x14ac:dyDescent="0.2">
      <c r="M1919" s="29"/>
      <c r="N1919" s="29"/>
      <c r="O1919" s="29"/>
      <c r="P1919" s="29"/>
      <c r="Q1919" s="29"/>
      <c r="R1919" s="29"/>
      <c r="S1919" s="29"/>
    </row>
    <row r="1920" spans="13:19" ht="16.5" customHeight="1" x14ac:dyDescent="0.2">
      <c r="M1920" s="29"/>
      <c r="N1920" s="29"/>
      <c r="O1920" s="29"/>
      <c r="P1920" s="29"/>
      <c r="Q1920" s="29"/>
      <c r="R1920" s="29"/>
      <c r="S1920" s="29"/>
    </row>
    <row r="1921" spans="13:19" ht="16.5" customHeight="1" x14ac:dyDescent="0.2">
      <c r="M1921" s="29"/>
      <c r="N1921" s="29"/>
      <c r="O1921" s="29"/>
      <c r="P1921" s="29"/>
      <c r="Q1921" s="29"/>
      <c r="R1921" s="29"/>
      <c r="S1921" s="29"/>
    </row>
    <row r="1922" spans="13:19" ht="16.5" customHeight="1" x14ac:dyDescent="0.2">
      <c r="M1922" s="29"/>
      <c r="N1922" s="29"/>
      <c r="O1922" s="29"/>
      <c r="P1922" s="29"/>
      <c r="Q1922" s="29"/>
      <c r="R1922" s="29"/>
      <c r="S1922" s="29"/>
    </row>
    <row r="1923" spans="13:19" ht="16.5" customHeight="1" x14ac:dyDescent="0.2">
      <c r="M1923" s="29"/>
      <c r="N1923" s="29"/>
      <c r="O1923" s="29"/>
      <c r="P1923" s="29"/>
      <c r="Q1923" s="29"/>
      <c r="R1923" s="29"/>
      <c r="S1923" s="29"/>
    </row>
    <row r="1924" spans="13:19" ht="16.5" customHeight="1" x14ac:dyDescent="0.2">
      <c r="M1924" s="29"/>
      <c r="N1924" s="29"/>
      <c r="O1924" s="29"/>
      <c r="P1924" s="29"/>
      <c r="Q1924" s="29"/>
      <c r="R1924" s="29"/>
      <c r="S1924" s="29"/>
    </row>
    <row r="1925" spans="13:19" ht="16.5" customHeight="1" x14ac:dyDescent="0.2">
      <c r="M1925" s="29"/>
      <c r="N1925" s="29"/>
      <c r="O1925" s="29"/>
      <c r="P1925" s="29"/>
      <c r="Q1925" s="29"/>
      <c r="R1925" s="29"/>
      <c r="S1925" s="29"/>
    </row>
    <row r="1926" spans="13:19" ht="16.5" customHeight="1" x14ac:dyDescent="0.2">
      <c r="M1926" s="29"/>
      <c r="N1926" s="29"/>
      <c r="O1926" s="29"/>
      <c r="P1926" s="29"/>
      <c r="Q1926" s="29"/>
      <c r="R1926" s="29"/>
      <c r="S1926" s="29"/>
    </row>
    <row r="1927" spans="13:19" ht="16.5" customHeight="1" x14ac:dyDescent="0.2">
      <c r="M1927" s="29"/>
      <c r="N1927" s="29"/>
      <c r="O1927" s="29"/>
      <c r="P1927" s="29"/>
      <c r="Q1927" s="29"/>
      <c r="R1927" s="29"/>
      <c r="S1927" s="29"/>
    </row>
    <row r="1928" spans="13:19" ht="16.5" customHeight="1" x14ac:dyDescent="0.2">
      <c r="M1928" s="29"/>
      <c r="N1928" s="29"/>
      <c r="O1928" s="29"/>
      <c r="P1928" s="29"/>
      <c r="Q1928" s="29"/>
      <c r="R1928" s="29"/>
      <c r="S1928" s="29"/>
    </row>
    <row r="1929" spans="13:19" ht="16.5" customHeight="1" x14ac:dyDescent="0.2">
      <c r="M1929" s="29"/>
      <c r="N1929" s="29"/>
      <c r="O1929" s="29"/>
      <c r="P1929" s="29"/>
      <c r="Q1929" s="29"/>
      <c r="R1929" s="29"/>
      <c r="S1929" s="29"/>
    </row>
    <row r="1930" spans="13:19" ht="16.5" customHeight="1" x14ac:dyDescent="0.2">
      <c r="M1930" s="29"/>
      <c r="N1930" s="29"/>
      <c r="O1930" s="29"/>
      <c r="P1930" s="29"/>
      <c r="Q1930" s="29"/>
      <c r="R1930" s="29"/>
      <c r="S1930" s="29"/>
    </row>
    <row r="1931" spans="13:19" ht="16.5" customHeight="1" x14ac:dyDescent="0.2">
      <c r="M1931" s="29"/>
      <c r="N1931" s="29"/>
      <c r="O1931" s="29"/>
      <c r="P1931" s="29"/>
      <c r="Q1931" s="29"/>
      <c r="R1931" s="29"/>
      <c r="S1931" s="29"/>
    </row>
    <row r="1932" spans="13:19" ht="16.5" customHeight="1" x14ac:dyDescent="0.2">
      <c r="M1932" s="29"/>
      <c r="N1932" s="29"/>
      <c r="O1932" s="29"/>
      <c r="P1932" s="29"/>
      <c r="Q1932" s="29"/>
      <c r="R1932" s="29"/>
      <c r="S1932" s="29"/>
    </row>
    <row r="1933" spans="13:19" ht="16.5" customHeight="1" x14ac:dyDescent="0.2">
      <c r="M1933" s="29"/>
      <c r="N1933" s="29"/>
      <c r="O1933" s="29"/>
      <c r="P1933" s="29"/>
      <c r="Q1933" s="29"/>
      <c r="R1933" s="29"/>
      <c r="S1933" s="29"/>
    </row>
    <row r="1934" spans="13:19" ht="16.5" customHeight="1" x14ac:dyDescent="0.2">
      <c r="M1934" s="29"/>
      <c r="N1934" s="29"/>
      <c r="O1934" s="29"/>
      <c r="P1934" s="29"/>
      <c r="Q1934" s="29"/>
      <c r="R1934" s="29"/>
      <c r="S1934" s="29"/>
    </row>
    <row r="1935" spans="13:19" ht="16.5" customHeight="1" x14ac:dyDescent="0.2">
      <c r="M1935" s="29"/>
      <c r="N1935" s="29"/>
      <c r="O1935" s="29"/>
      <c r="P1935" s="29"/>
      <c r="Q1935" s="29"/>
      <c r="R1935" s="29"/>
      <c r="S1935" s="29"/>
    </row>
    <row r="1936" spans="13:19" ht="16.5" customHeight="1" x14ac:dyDescent="0.2">
      <c r="M1936" s="29"/>
      <c r="N1936" s="29"/>
      <c r="O1936" s="29"/>
      <c r="P1936" s="29"/>
      <c r="Q1936" s="29"/>
      <c r="R1936" s="29"/>
      <c r="S1936" s="29"/>
    </row>
    <row r="1937" spans="13:19" ht="16.5" customHeight="1" x14ac:dyDescent="0.2">
      <c r="M1937" s="29"/>
      <c r="N1937" s="29"/>
      <c r="O1937" s="29"/>
      <c r="P1937" s="29"/>
      <c r="Q1937" s="29"/>
      <c r="R1937" s="29"/>
      <c r="S1937" s="29"/>
    </row>
    <row r="1938" spans="13:19" ht="16.5" customHeight="1" x14ac:dyDescent="0.2">
      <c r="M1938" s="29"/>
      <c r="N1938" s="29"/>
      <c r="O1938" s="29"/>
      <c r="P1938" s="29"/>
      <c r="Q1938" s="29"/>
      <c r="R1938" s="29"/>
      <c r="S1938" s="29"/>
    </row>
    <row r="1939" spans="13:19" ht="16.5" customHeight="1" x14ac:dyDescent="0.2">
      <c r="M1939" s="29"/>
      <c r="N1939" s="29"/>
      <c r="O1939" s="29"/>
      <c r="P1939" s="29"/>
      <c r="Q1939" s="29"/>
      <c r="R1939" s="29"/>
      <c r="S1939" s="29"/>
    </row>
    <row r="1940" spans="13:19" ht="16.5" customHeight="1" x14ac:dyDescent="0.2">
      <c r="M1940" s="29"/>
      <c r="N1940" s="29"/>
      <c r="O1940" s="29"/>
      <c r="P1940" s="29"/>
      <c r="Q1940" s="29"/>
      <c r="R1940" s="29"/>
      <c r="S1940" s="29"/>
    </row>
    <row r="1941" spans="13:19" ht="16.5" customHeight="1" x14ac:dyDescent="0.2">
      <c r="M1941" s="29"/>
      <c r="N1941" s="29"/>
      <c r="O1941" s="29"/>
      <c r="P1941" s="29"/>
      <c r="Q1941" s="29"/>
      <c r="R1941" s="29"/>
      <c r="S1941" s="29"/>
    </row>
    <row r="1942" spans="13:19" ht="16.5" customHeight="1" x14ac:dyDescent="0.2">
      <c r="M1942" s="29"/>
      <c r="N1942" s="29"/>
      <c r="O1942" s="29"/>
      <c r="P1942" s="29"/>
      <c r="Q1942" s="29"/>
      <c r="R1942" s="29"/>
      <c r="S1942" s="29"/>
    </row>
    <row r="1943" spans="13:19" ht="16.5" customHeight="1" x14ac:dyDescent="0.2">
      <c r="M1943" s="29"/>
      <c r="N1943" s="29"/>
      <c r="O1943" s="29"/>
      <c r="P1943" s="29"/>
      <c r="Q1943" s="29"/>
      <c r="R1943" s="29"/>
      <c r="S1943" s="29"/>
    </row>
    <row r="1944" spans="13:19" ht="16.5" customHeight="1" x14ac:dyDescent="0.2">
      <c r="M1944" s="29"/>
      <c r="N1944" s="29"/>
      <c r="O1944" s="29"/>
      <c r="P1944" s="29"/>
      <c r="Q1944" s="29"/>
      <c r="R1944" s="29"/>
      <c r="S1944" s="29"/>
    </row>
    <row r="1945" spans="13:19" ht="16.5" customHeight="1" x14ac:dyDescent="0.2">
      <c r="M1945" s="29"/>
      <c r="N1945" s="29"/>
      <c r="O1945" s="29"/>
      <c r="P1945" s="29"/>
      <c r="Q1945" s="29"/>
      <c r="R1945" s="29"/>
      <c r="S1945" s="29"/>
    </row>
    <row r="1946" spans="13:19" ht="16.5" customHeight="1" x14ac:dyDescent="0.2">
      <c r="M1946" s="29"/>
      <c r="N1946" s="29"/>
      <c r="O1946" s="29"/>
      <c r="P1946" s="29"/>
      <c r="Q1946" s="29"/>
      <c r="R1946" s="29"/>
      <c r="S1946" s="29"/>
    </row>
    <row r="1947" spans="13:19" ht="16.5" customHeight="1" x14ac:dyDescent="0.2">
      <c r="M1947" s="29"/>
      <c r="N1947" s="29"/>
      <c r="O1947" s="29"/>
      <c r="P1947" s="29"/>
      <c r="Q1947" s="29"/>
      <c r="R1947" s="29"/>
      <c r="S1947" s="29"/>
    </row>
    <row r="1948" spans="13:19" ht="16.5" customHeight="1" x14ac:dyDescent="0.2">
      <c r="M1948" s="29"/>
      <c r="N1948" s="29"/>
      <c r="O1948" s="29"/>
      <c r="P1948" s="29"/>
      <c r="Q1948" s="29"/>
      <c r="R1948" s="29"/>
      <c r="S1948" s="29"/>
    </row>
    <row r="1949" spans="13:19" ht="16.5" customHeight="1" x14ac:dyDescent="0.2">
      <c r="M1949" s="29"/>
      <c r="N1949" s="29"/>
      <c r="O1949" s="29"/>
      <c r="P1949" s="29"/>
      <c r="Q1949" s="29"/>
      <c r="R1949" s="29"/>
      <c r="S1949" s="29"/>
    </row>
    <row r="1950" spans="13:19" ht="16.5" customHeight="1" x14ac:dyDescent="0.2">
      <c r="M1950" s="29"/>
      <c r="N1950" s="29"/>
      <c r="O1950" s="29"/>
      <c r="P1950" s="29"/>
      <c r="Q1950" s="29"/>
      <c r="R1950" s="29"/>
      <c r="S1950" s="29"/>
    </row>
    <row r="1951" spans="13:19" ht="16.5" customHeight="1" x14ac:dyDescent="0.2">
      <c r="M1951" s="29"/>
      <c r="N1951" s="29"/>
      <c r="O1951" s="29"/>
      <c r="P1951" s="29"/>
      <c r="Q1951" s="29"/>
      <c r="R1951" s="29"/>
      <c r="S1951" s="29"/>
    </row>
    <row r="1952" spans="13:19" ht="16.5" customHeight="1" x14ac:dyDescent="0.2">
      <c r="M1952" s="29"/>
      <c r="N1952" s="29"/>
      <c r="O1952" s="29"/>
      <c r="P1952" s="29"/>
      <c r="Q1952" s="29"/>
      <c r="R1952" s="29"/>
      <c r="S1952" s="29"/>
    </row>
    <row r="1953" spans="13:19" ht="16.5" customHeight="1" x14ac:dyDescent="0.2">
      <c r="M1953" s="29"/>
      <c r="N1953" s="29"/>
      <c r="O1953" s="29"/>
      <c r="P1953" s="29"/>
      <c r="Q1953" s="29"/>
      <c r="R1953" s="29"/>
      <c r="S1953" s="29"/>
    </row>
    <row r="1954" spans="13:19" ht="16.5" customHeight="1" x14ac:dyDescent="0.2">
      <c r="M1954" s="29"/>
      <c r="N1954" s="29"/>
      <c r="O1954" s="29"/>
      <c r="P1954" s="29"/>
      <c r="Q1954" s="29"/>
      <c r="R1954" s="29"/>
      <c r="S1954" s="29"/>
    </row>
    <row r="1955" spans="13:19" ht="16.5" customHeight="1" x14ac:dyDescent="0.2">
      <c r="M1955" s="29"/>
      <c r="N1955" s="29"/>
      <c r="O1955" s="29"/>
      <c r="P1955" s="29"/>
      <c r="Q1955" s="29"/>
      <c r="R1955" s="29"/>
      <c r="S1955" s="29"/>
    </row>
    <row r="1956" spans="13:19" ht="16.5" customHeight="1" x14ac:dyDescent="0.2">
      <c r="M1956" s="29"/>
      <c r="N1956" s="29"/>
      <c r="O1956" s="29"/>
      <c r="P1956" s="29"/>
      <c r="Q1956" s="29"/>
      <c r="R1956" s="29"/>
      <c r="S1956" s="29"/>
    </row>
    <row r="1957" spans="13:19" ht="16.5" customHeight="1" x14ac:dyDescent="0.2">
      <c r="M1957" s="29"/>
      <c r="N1957" s="29"/>
      <c r="O1957" s="29"/>
      <c r="P1957" s="29"/>
      <c r="Q1957" s="29"/>
      <c r="R1957" s="29"/>
      <c r="S1957" s="29"/>
    </row>
    <row r="1958" spans="13:19" ht="16.5" customHeight="1" x14ac:dyDescent="0.2">
      <c r="M1958" s="29"/>
      <c r="N1958" s="29"/>
      <c r="O1958" s="29"/>
      <c r="P1958" s="29"/>
      <c r="Q1958" s="29"/>
      <c r="R1958" s="29"/>
      <c r="S1958" s="29"/>
    </row>
    <row r="1959" spans="13:19" ht="16.5" customHeight="1" x14ac:dyDescent="0.2">
      <c r="M1959" s="29"/>
      <c r="N1959" s="29"/>
      <c r="O1959" s="29"/>
      <c r="P1959" s="29"/>
      <c r="Q1959" s="29"/>
      <c r="R1959" s="29"/>
      <c r="S1959" s="29"/>
    </row>
    <row r="1960" spans="13:19" ht="16.5" customHeight="1" x14ac:dyDescent="0.2">
      <c r="M1960" s="29"/>
      <c r="N1960" s="29"/>
      <c r="O1960" s="29"/>
      <c r="P1960" s="29"/>
      <c r="Q1960" s="29"/>
      <c r="R1960" s="29"/>
      <c r="S1960" s="29"/>
    </row>
    <row r="1961" spans="13:19" ht="16.5" customHeight="1" x14ac:dyDescent="0.2">
      <c r="M1961" s="29"/>
      <c r="N1961" s="29"/>
      <c r="O1961" s="29"/>
      <c r="P1961" s="29"/>
      <c r="Q1961" s="29"/>
      <c r="R1961" s="29"/>
      <c r="S1961" s="29"/>
    </row>
    <row r="1962" spans="13:19" ht="16.5" customHeight="1" x14ac:dyDescent="0.2">
      <c r="M1962" s="29"/>
      <c r="N1962" s="29"/>
      <c r="O1962" s="29"/>
      <c r="P1962" s="29"/>
      <c r="Q1962" s="29"/>
      <c r="R1962" s="29"/>
      <c r="S1962" s="29"/>
    </row>
    <row r="1963" spans="13:19" ht="16.5" customHeight="1" x14ac:dyDescent="0.2">
      <c r="M1963" s="29"/>
      <c r="N1963" s="29"/>
      <c r="O1963" s="29"/>
      <c r="P1963" s="29"/>
      <c r="Q1963" s="29"/>
      <c r="R1963" s="29"/>
      <c r="S1963" s="29"/>
    </row>
    <row r="1964" spans="13:19" ht="16.5" customHeight="1" x14ac:dyDescent="0.2">
      <c r="M1964" s="29"/>
      <c r="N1964" s="29"/>
      <c r="O1964" s="29"/>
      <c r="P1964" s="29"/>
      <c r="Q1964" s="29"/>
      <c r="R1964" s="29"/>
      <c r="S1964" s="29"/>
    </row>
    <row r="1965" spans="13:19" ht="16.5" customHeight="1" x14ac:dyDescent="0.2">
      <c r="M1965" s="29"/>
      <c r="N1965" s="29"/>
      <c r="O1965" s="29"/>
      <c r="P1965" s="29"/>
      <c r="Q1965" s="29"/>
      <c r="R1965" s="29"/>
      <c r="S1965" s="29"/>
    </row>
    <row r="1966" spans="13:19" ht="16.5" customHeight="1" x14ac:dyDescent="0.2">
      <c r="M1966" s="29"/>
      <c r="N1966" s="29"/>
      <c r="O1966" s="29"/>
      <c r="P1966" s="29"/>
      <c r="Q1966" s="29"/>
      <c r="R1966" s="29"/>
      <c r="S1966" s="29"/>
    </row>
    <row r="1967" spans="13:19" ht="16.5" customHeight="1" x14ac:dyDescent="0.2">
      <c r="M1967" s="29"/>
      <c r="N1967" s="29"/>
      <c r="O1967" s="29"/>
      <c r="P1967" s="29"/>
      <c r="Q1967" s="29"/>
      <c r="R1967" s="29"/>
      <c r="S1967" s="29"/>
    </row>
    <row r="1968" spans="13:19" ht="16.5" customHeight="1" x14ac:dyDescent="0.2">
      <c r="M1968" s="29"/>
      <c r="N1968" s="29"/>
      <c r="O1968" s="29"/>
      <c r="P1968" s="29"/>
      <c r="Q1968" s="29"/>
      <c r="R1968" s="29"/>
      <c r="S1968" s="29"/>
    </row>
    <row r="1969" spans="13:19" ht="16.5" customHeight="1" x14ac:dyDescent="0.2">
      <c r="M1969" s="29"/>
      <c r="N1969" s="29"/>
      <c r="O1969" s="29"/>
      <c r="P1969" s="29"/>
      <c r="Q1969" s="29"/>
      <c r="R1969" s="29"/>
      <c r="S1969" s="29"/>
    </row>
    <row r="1970" spans="13:19" ht="16.5" customHeight="1" x14ac:dyDescent="0.2">
      <c r="M1970" s="29"/>
      <c r="N1970" s="29"/>
      <c r="O1970" s="29"/>
      <c r="P1970" s="29"/>
      <c r="Q1970" s="29"/>
      <c r="R1970" s="29"/>
      <c r="S1970" s="29"/>
    </row>
    <row r="1971" spans="13:19" ht="16.5" customHeight="1" x14ac:dyDescent="0.2">
      <c r="M1971" s="29"/>
      <c r="N1971" s="29"/>
      <c r="O1971" s="29"/>
      <c r="P1971" s="29"/>
      <c r="Q1971" s="29"/>
      <c r="R1971" s="29"/>
      <c r="S1971" s="29"/>
    </row>
    <row r="1972" spans="13:19" ht="16.5" customHeight="1" x14ac:dyDescent="0.2">
      <c r="M1972" s="29"/>
      <c r="N1972" s="29"/>
      <c r="O1972" s="29"/>
      <c r="P1972" s="29"/>
      <c r="Q1972" s="29"/>
      <c r="R1972" s="29"/>
      <c r="S1972" s="29"/>
    </row>
    <row r="1973" spans="13:19" ht="16.5" customHeight="1" x14ac:dyDescent="0.2">
      <c r="M1973" s="29"/>
      <c r="N1973" s="29"/>
      <c r="O1973" s="29"/>
      <c r="P1973" s="29"/>
      <c r="Q1973" s="29"/>
      <c r="R1973" s="29"/>
      <c r="S1973" s="29"/>
    </row>
    <row r="1974" spans="13:19" ht="16.5" customHeight="1" x14ac:dyDescent="0.2">
      <c r="M1974" s="29"/>
      <c r="N1974" s="29"/>
      <c r="O1974" s="29"/>
      <c r="P1974" s="29"/>
      <c r="Q1974" s="29"/>
      <c r="R1974" s="29"/>
      <c r="S1974" s="29"/>
    </row>
    <row r="1975" spans="13:19" ht="16.5" customHeight="1" x14ac:dyDescent="0.2">
      <c r="M1975" s="29"/>
      <c r="N1975" s="29"/>
      <c r="O1975" s="29"/>
      <c r="P1975" s="29"/>
      <c r="Q1975" s="29"/>
      <c r="R1975" s="29"/>
      <c r="S1975" s="29"/>
    </row>
    <row r="1976" spans="13:19" ht="16.5" customHeight="1" x14ac:dyDescent="0.2">
      <c r="M1976" s="29"/>
      <c r="N1976" s="29"/>
      <c r="O1976" s="29"/>
      <c r="P1976" s="29"/>
      <c r="Q1976" s="29"/>
      <c r="R1976" s="29"/>
      <c r="S1976" s="29"/>
    </row>
    <row r="1977" spans="13:19" ht="16.5" customHeight="1" x14ac:dyDescent="0.2">
      <c r="M1977" s="29"/>
      <c r="N1977" s="29"/>
      <c r="O1977" s="29"/>
      <c r="P1977" s="29"/>
      <c r="Q1977" s="29"/>
      <c r="R1977" s="29"/>
      <c r="S1977" s="29"/>
    </row>
    <row r="1978" spans="13:19" ht="16.5" customHeight="1" x14ac:dyDescent="0.2">
      <c r="M1978" s="29"/>
      <c r="N1978" s="29"/>
      <c r="O1978" s="29"/>
      <c r="P1978" s="29"/>
      <c r="Q1978" s="29"/>
      <c r="R1978" s="29"/>
      <c r="S1978" s="29"/>
    </row>
    <row r="1979" spans="13:19" ht="16.5" customHeight="1" x14ac:dyDescent="0.2">
      <c r="M1979" s="29"/>
      <c r="N1979" s="29"/>
      <c r="O1979" s="29"/>
      <c r="P1979" s="29"/>
      <c r="Q1979" s="29"/>
      <c r="R1979" s="29"/>
      <c r="S1979" s="29"/>
    </row>
    <row r="1980" spans="13:19" ht="16.5" customHeight="1" x14ac:dyDescent="0.2">
      <c r="M1980" s="29"/>
      <c r="N1980" s="29"/>
      <c r="O1980" s="29"/>
      <c r="P1980" s="29"/>
      <c r="Q1980" s="29"/>
      <c r="R1980" s="29"/>
      <c r="S1980" s="29"/>
    </row>
    <row r="1981" spans="13:19" ht="16.5" customHeight="1" x14ac:dyDescent="0.2">
      <c r="M1981" s="29"/>
      <c r="N1981" s="29"/>
      <c r="O1981" s="29"/>
      <c r="P1981" s="29"/>
      <c r="Q1981" s="29"/>
      <c r="R1981" s="29"/>
      <c r="S1981" s="29"/>
    </row>
    <row r="1982" spans="13:19" ht="16.5" customHeight="1" x14ac:dyDescent="0.2">
      <c r="M1982" s="29"/>
      <c r="N1982" s="29"/>
      <c r="O1982" s="29"/>
      <c r="P1982" s="29"/>
      <c r="Q1982" s="29"/>
      <c r="R1982" s="29"/>
      <c r="S1982" s="29"/>
    </row>
    <row r="1983" spans="13:19" ht="16.5" customHeight="1" x14ac:dyDescent="0.2">
      <c r="M1983" s="29"/>
      <c r="N1983" s="29"/>
      <c r="O1983" s="29"/>
      <c r="P1983" s="29"/>
      <c r="Q1983" s="29"/>
      <c r="R1983" s="29"/>
      <c r="S1983" s="29"/>
    </row>
    <row r="1984" spans="13:19" ht="16.5" customHeight="1" x14ac:dyDescent="0.2">
      <c r="M1984" s="29"/>
      <c r="N1984" s="29"/>
      <c r="O1984" s="29"/>
      <c r="P1984" s="29"/>
      <c r="Q1984" s="29"/>
      <c r="R1984" s="29"/>
      <c r="S1984" s="29"/>
    </row>
    <row r="1985" spans="13:19" ht="16.5" customHeight="1" x14ac:dyDescent="0.2">
      <c r="M1985" s="29"/>
      <c r="N1985" s="29"/>
      <c r="O1985" s="29"/>
      <c r="P1985" s="29"/>
      <c r="Q1985" s="29"/>
      <c r="R1985" s="29"/>
      <c r="S1985" s="29"/>
    </row>
    <row r="1986" spans="13:19" ht="16.5" customHeight="1" x14ac:dyDescent="0.2">
      <c r="M1986" s="29"/>
      <c r="N1986" s="29"/>
      <c r="O1986" s="29"/>
      <c r="P1986" s="29"/>
      <c r="Q1986" s="29"/>
      <c r="R1986" s="29"/>
      <c r="S1986" s="29"/>
    </row>
    <row r="1987" spans="13:19" ht="16.5" customHeight="1" x14ac:dyDescent="0.2">
      <c r="M1987" s="29"/>
      <c r="N1987" s="29"/>
      <c r="O1987" s="29"/>
      <c r="P1987" s="29"/>
      <c r="Q1987" s="29"/>
      <c r="R1987" s="29"/>
      <c r="S1987" s="29"/>
    </row>
    <row r="1988" spans="13:19" ht="16.5" customHeight="1" x14ac:dyDescent="0.2">
      <c r="M1988" s="29"/>
      <c r="N1988" s="29"/>
      <c r="O1988" s="29"/>
      <c r="P1988" s="29"/>
      <c r="Q1988" s="29"/>
      <c r="R1988" s="29"/>
      <c r="S1988" s="29"/>
    </row>
    <row r="1989" spans="13:19" ht="16.5" customHeight="1" x14ac:dyDescent="0.2">
      <c r="M1989" s="29"/>
      <c r="N1989" s="29"/>
      <c r="O1989" s="29"/>
      <c r="P1989" s="29"/>
      <c r="Q1989" s="29"/>
      <c r="R1989" s="29"/>
      <c r="S1989" s="29"/>
    </row>
    <row r="1990" spans="13:19" ht="16.5" customHeight="1" x14ac:dyDescent="0.2">
      <c r="M1990" s="29"/>
      <c r="N1990" s="29"/>
      <c r="O1990" s="29"/>
      <c r="P1990" s="29"/>
      <c r="Q1990" s="29"/>
      <c r="R1990" s="29"/>
      <c r="S1990" s="29"/>
    </row>
    <row r="1991" spans="13:19" ht="16.5" customHeight="1" x14ac:dyDescent="0.2">
      <c r="M1991" s="29"/>
      <c r="N1991" s="29"/>
      <c r="O1991" s="29"/>
      <c r="P1991" s="29"/>
      <c r="Q1991" s="29"/>
      <c r="R1991" s="29"/>
      <c r="S1991" s="29"/>
    </row>
    <row r="1992" spans="13:19" ht="16.5" customHeight="1" x14ac:dyDescent="0.2">
      <c r="M1992" s="29"/>
      <c r="N1992" s="29"/>
      <c r="O1992" s="29"/>
      <c r="P1992" s="29"/>
      <c r="Q1992" s="29"/>
      <c r="R1992" s="29"/>
      <c r="S1992" s="29"/>
    </row>
    <row r="1993" spans="13:19" ht="16.5" customHeight="1" x14ac:dyDescent="0.2">
      <c r="M1993" s="29"/>
      <c r="N1993" s="29"/>
      <c r="O1993" s="29"/>
      <c r="P1993" s="29"/>
      <c r="Q1993" s="29"/>
      <c r="R1993" s="29"/>
      <c r="S1993" s="29"/>
    </row>
    <row r="1994" spans="13:19" ht="16.5" customHeight="1" x14ac:dyDescent="0.2">
      <c r="M1994" s="29"/>
      <c r="N1994" s="29"/>
      <c r="O1994" s="29"/>
      <c r="P1994" s="29"/>
      <c r="Q1994" s="29"/>
      <c r="R1994" s="29"/>
      <c r="S1994" s="29"/>
    </row>
    <row r="1995" spans="13:19" ht="16.5" customHeight="1" x14ac:dyDescent="0.2">
      <c r="M1995" s="29"/>
      <c r="N1995" s="29"/>
      <c r="O1995" s="29"/>
      <c r="P1995" s="29"/>
      <c r="Q1995" s="29"/>
      <c r="R1995" s="29"/>
      <c r="S1995" s="29"/>
    </row>
    <row r="1996" spans="13:19" ht="16.5" customHeight="1" x14ac:dyDescent="0.2">
      <c r="M1996" s="29"/>
      <c r="N1996" s="29"/>
      <c r="O1996" s="29"/>
      <c r="P1996" s="29"/>
      <c r="Q1996" s="29"/>
      <c r="R1996" s="29"/>
      <c r="S1996" s="29"/>
    </row>
    <row r="1997" spans="13:19" ht="16.5" customHeight="1" x14ac:dyDescent="0.2">
      <c r="M1997" s="29"/>
      <c r="N1997" s="29"/>
      <c r="O1997" s="29"/>
      <c r="P1997" s="29"/>
      <c r="Q1997" s="29"/>
      <c r="R1997" s="29"/>
      <c r="S1997" s="29"/>
    </row>
    <row r="1998" spans="13:19" ht="16.5" customHeight="1" x14ac:dyDescent="0.2">
      <c r="M1998" s="29"/>
      <c r="N1998" s="29"/>
      <c r="O1998" s="29"/>
      <c r="P1998" s="29"/>
      <c r="Q1998" s="29"/>
      <c r="R1998" s="29"/>
      <c r="S1998" s="29"/>
    </row>
    <row r="1999" spans="13:19" ht="16.5" customHeight="1" x14ac:dyDescent="0.2">
      <c r="M1999" s="29"/>
      <c r="N1999" s="29"/>
      <c r="O1999" s="29"/>
      <c r="P1999" s="29"/>
      <c r="Q1999" s="29"/>
      <c r="R1999" s="29"/>
      <c r="S1999" s="29"/>
    </row>
    <row r="2000" spans="13:19" ht="16.5" customHeight="1" x14ac:dyDescent="0.2">
      <c r="M2000" s="29"/>
      <c r="N2000" s="29"/>
      <c r="O2000" s="29"/>
      <c r="P2000" s="29"/>
      <c r="Q2000" s="29"/>
      <c r="R2000" s="29"/>
      <c r="S2000" s="29"/>
    </row>
    <row r="2001" spans="13:19" ht="16.5" customHeight="1" x14ac:dyDescent="0.2">
      <c r="M2001" s="29"/>
      <c r="N2001" s="29"/>
      <c r="O2001" s="29"/>
      <c r="P2001" s="29"/>
      <c r="Q2001" s="29"/>
      <c r="R2001" s="29"/>
      <c r="S2001" s="29"/>
    </row>
    <row r="2002" spans="13:19" ht="16.5" customHeight="1" x14ac:dyDescent="0.2">
      <c r="M2002" s="29"/>
      <c r="N2002" s="29"/>
      <c r="O2002" s="29"/>
      <c r="P2002" s="29"/>
      <c r="Q2002" s="29"/>
      <c r="R2002" s="29"/>
      <c r="S2002" s="29"/>
    </row>
    <row r="2003" spans="13:19" ht="16.5" customHeight="1" x14ac:dyDescent="0.2">
      <c r="M2003" s="29"/>
      <c r="N2003" s="29"/>
      <c r="O2003" s="29"/>
      <c r="P2003" s="29"/>
      <c r="Q2003" s="29"/>
      <c r="R2003" s="29"/>
      <c r="S2003" s="29"/>
    </row>
    <row r="2004" spans="13:19" ht="16.5" customHeight="1" x14ac:dyDescent="0.2">
      <c r="M2004" s="29"/>
      <c r="N2004" s="29"/>
      <c r="O2004" s="29"/>
      <c r="P2004" s="29"/>
      <c r="Q2004" s="29"/>
      <c r="R2004" s="29"/>
      <c r="S2004" s="29"/>
    </row>
    <row r="2005" spans="13:19" ht="16.5" customHeight="1" x14ac:dyDescent="0.2">
      <c r="M2005" s="29"/>
      <c r="N2005" s="29"/>
      <c r="O2005" s="29"/>
      <c r="P2005" s="29"/>
      <c r="Q2005" s="29"/>
      <c r="R2005" s="29"/>
      <c r="S2005" s="29"/>
    </row>
    <row r="2006" spans="13:19" ht="16.5" customHeight="1" x14ac:dyDescent="0.2">
      <c r="M2006" s="29"/>
      <c r="N2006" s="29"/>
      <c r="O2006" s="29"/>
      <c r="P2006" s="29"/>
      <c r="Q2006" s="29"/>
      <c r="R2006" s="29"/>
      <c r="S2006" s="29"/>
    </row>
    <row r="2007" spans="13:19" ht="16.5" customHeight="1" x14ac:dyDescent="0.2">
      <c r="M2007" s="29"/>
      <c r="N2007" s="29"/>
      <c r="O2007" s="29"/>
      <c r="P2007" s="29"/>
      <c r="Q2007" s="29"/>
      <c r="R2007" s="29"/>
      <c r="S2007" s="29"/>
    </row>
    <row r="2008" spans="13:19" ht="16.5" customHeight="1" x14ac:dyDescent="0.2">
      <c r="M2008" s="29"/>
      <c r="N2008" s="29"/>
      <c r="O2008" s="29"/>
      <c r="P2008" s="29"/>
      <c r="Q2008" s="29"/>
      <c r="R2008" s="29"/>
      <c r="S2008" s="29"/>
    </row>
    <row r="2009" spans="13:19" ht="16.5" customHeight="1" x14ac:dyDescent="0.2">
      <c r="M2009" s="29"/>
      <c r="N2009" s="29"/>
      <c r="O2009" s="29"/>
      <c r="P2009" s="29"/>
      <c r="Q2009" s="29"/>
      <c r="R2009" s="29"/>
      <c r="S2009" s="29"/>
    </row>
    <row r="2010" spans="13:19" ht="16.5" customHeight="1" x14ac:dyDescent="0.2">
      <c r="M2010" s="29"/>
      <c r="N2010" s="29"/>
      <c r="O2010" s="29"/>
      <c r="P2010" s="29"/>
      <c r="Q2010" s="29"/>
      <c r="R2010" s="29"/>
      <c r="S2010" s="29"/>
    </row>
    <row r="2011" spans="13:19" ht="16.5" customHeight="1" x14ac:dyDescent="0.2">
      <c r="M2011" s="29"/>
      <c r="N2011" s="29"/>
      <c r="O2011" s="29"/>
      <c r="P2011" s="29"/>
      <c r="Q2011" s="29"/>
      <c r="R2011" s="29"/>
      <c r="S2011" s="29"/>
    </row>
    <row r="2012" spans="13:19" ht="16.5" customHeight="1" x14ac:dyDescent="0.2">
      <c r="M2012" s="29"/>
      <c r="N2012" s="29"/>
      <c r="O2012" s="29"/>
      <c r="P2012" s="29"/>
      <c r="Q2012" s="29"/>
      <c r="R2012" s="29"/>
      <c r="S2012" s="29"/>
    </row>
    <row r="2013" spans="13:19" ht="16.5" customHeight="1" x14ac:dyDescent="0.2">
      <c r="M2013" s="29"/>
      <c r="N2013" s="29"/>
      <c r="O2013" s="29"/>
      <c r="P2013" s="29"/>
      <c r="Q2013" s="29"/>
      <c r="R2013" s="29"/>
      <c r="S2013" s="29"/>
    </row>
    <row r="2014" spans="13:19" ht="16.5" customHeight="1" x14ac:dyDescent="0.2">
      <c r="M2014" s="29"/>
      <c r="N2014" s="29"/>
      <c r="O2014" s="29"/>
      <c r="P2014" s="29"/>
      <c r="Q2014" s="29"/>
      <c r="R2014" s="29"/>
      <c r="S2014" s="29"/>
    </row>
    <row r="2015" spans="13:19" ht="16.5" customHeight="1" x14ac:dyDescent="0.2">
      <c r="M2015" s="29"/>
      <c r="N2015" s="29"/>
      <c r="O2015" s="29"/>
      <c r="P2015" s="29"/>
      <c r="Q2015" s="29"/>
      <c r="R2015" s="29"/>
      <c r="S2015" s="29"/>
    </row>
    <row r="2016" spans="13:19" ht="16.5" customHeight="1" x14ac:dyDescent="0.2">
      <c r="M2016" s="29"/>
      <c r="N2016" s="29"/>
      <c r="O2016" s="29"/>
      <c r="P2016" s="29"/>
      <c r="Q2016" s="29"/>
      <c r="R2016" s="29"/>
      <c r="S2016" s="29"/>
    </row>
    <row r="2017" spans="13:19" ht="16.5" customHeight="1" x14ac:dyDescent="0.2">
      <c r="M2017" s="29"/>
      <c r="N2017" s="29"/>
      <c r="O2017" s="29"/>
      <c r="P2017" s="29"/>
      <c r="Q2017" s="29"/>
      <c r="R2017" s="29"/>
      <c r="S2017" s="29"/>
    </row>
    <row r="2018" spans="13:19" ht="16.5" customHeight="1" x14ac:dyDescent="0.2">
      <c r="M2018" s="29"/>
      <c r="N2018" s="29"/>
      <c r="O2018" s="29"/>
      <c r="P2018" s="29"/>
      <c r="Q2018" s="29"/>
      <c r="R2018" s="29"/>
      <c r="S2018" s="29"/>
    </row>
    <row r="2019" spans="13:19" ht="16.5" customHeight="1" x14ac:dyDescent="0.2">
      <c r="M2019" s="29"/>
      <c r="N2019" s="29"/>
      <c r="O2019" s="29"/>
      <c r="P2019" s="29"/>
      <c r="Q2019" s="29"/>
      <c r="R2019" s="29"/>
      <c r="S2019" s="29"/>
    </row>
    <row r="2020" spans="13:19" ht="16.5" customHeight="1" x14ac:dyDescent="0.2">
      <c r="M2020" s="29"/>
      <c r="N2020" s="29"/>
      <c r="O2020" s="29"/>
      <c r="P2020" s="29"/>
      <c r="Q2020" s="29"/>
      <c r="R2020" s="29"/>
      <c r="S2020" s="29"/>
    </row>
    <row r="2021" spans="13:19" ht="16.5" customHeight="1" x14ac:dyDescent="0.2">
      <c r="M2021" s="29"/>
      <c r="N2021" s="29"/>
      <c r="O2021" s="29"/>
      <c r="P2021" s="29"/>
      <c r="Q2021" s="29"/>
      <c r="R2021" s="29"/>
      <c r="S2021" s="29"/>
    </row>
    <row r="2022" spans="13:19" ht="16.5" customHeight="1" x14ac:dyDescent="0.2">
      <c r="M2022" s="29"/>
      <c r="N2022" s="29"/>
      <c r="O2022" s="29"/>
      <c r="P2022" s="29"/>
      <c r="Q2022" s="29"/>
      <c r="R2022" s="29"/>
      <c r="S2022" s="29"/>
    </row>
    <row r="2023" spans="13:19" ht="16.5" customHeight="1" x14ac:dyDescent="0.2">
      <c r="M2023" s="29"/>
      <c r="N2023" s="29"/>
      <c r="O2023" s="29"/>
      <c r="P2023" s="29"/>
      <c r="Q2023" s="29"/>
      <c r="R2023" s="29"/>
      <c r="S2023" s="29"/>
    </row>
    <row r="2024" spans="13:19" ht="16.5" customHeight="1" x14ac:dyDescent="0.2">
      <c r="M2024" s="29"/>
      <c r="N2024" s="29"/>
      <c r="O2024" s="29"/>
      <c r="P2024" s="29"/>
      <c r="Q2024" s="29"/>
      <c r="R2024" s="29"/>
      <c r="S2024" s="29"/>
    </row>
    <row r="2025" spans="13:19" ht="16.5" customHeight="1" x14ac:dyDescent="0.2">
      <c r="M2025" s="29"/>
      <c r="N2025" s="29"/>
      <c r="O2025" s="29"/>
      <c r="P2025" s="29"/>
      <c r="Q2025" s="29"/>
      <c r="R2025" s="29"/>
      <c r="S2025" s="29"/>
    </row>
    <row r="2026" spans="13:19" ht="16.5" customHeight="1" x14ac:dyDescent="0.2">
      <c r="M2026" s="29"/>
      <c r="N2026" s="29"/>
      <c r="O2026" s="29"/>
      <c r="P2026" s="29"/>
      <c r="Q2026" s="29"/>
      <c r="R2026" s="29"/>
      <c r="S2026" s="29"/>
    </row>
    <row r="2027" spans="13:19" ht="16.5" customHeight="1" x14ac:dyDescent="0.2">
      <c r="M2027" s="29"/>
      <c r="N2027" s="29"/>
      <c r="O2027" s="29"/>
      <c r="P2027" s="29"/>
      <c r="Q2027" s="29"/>
      <c r="R2027" s="29"/>
      <c r="S2027" s="29"/>
    </row>
    <row r="2028" spans="13:19" ht="16.5" customHeight="1" x14ac:dyDescent="0.2">
      <c r="M2028" s="29"/>
      <c r="N2028" s="29"/>
      <c r="O2028" s="29"/>
      <c r="P2028" s="29"/>
      <c r="Q2028" s="29"/>
      <c r="R2028" s="29"/>
      <c r="S2028" s="29"/>
    </row>
    <row r="2029" spans="13:19" ht="16.5" customHeight="1" x14ac:dyDescent="0.2">
      <c r="M2029" s="29"/>
      <c r="N2029" s="29"/>
      <c r="O2029" s="29"/>
      <c r="P2029" s="29"/>
      <c r="Q2029" s="29"/>
      <c r="R2029" s="29"/>
      <c r="S2029" s="29"/>
    </row>
    <row r="2030" spans="13:19" ht="16.5" customHeight="1" x14ac:dyDescent="0.2">
      <c r="M2030" s="29"/>
      <c r="N2030" s="29"/>
      <c r="O2030" s="29"/>
      <c r="P2030" s="29"/>
      <c r="Q2030" s="29"/>
      <c r="R2030" s="29"/>
      <c r="S2030" s="29"/>
    </row>
    <row r="2031" spans="13:19" ht="16.5" customHeight="1" x14ac:dyDescent="0.2">
      <c r="M2031" s="29"/>
      <c r="N2031" s="29"/>
      <c r="O2031" s="29"/>
      <c r="P2031" s="29"/>
      <c r="Q2031" s="29"/>
      <c r="R2031" s="29"/>
      <c r="S2031" s="29"/>
    </row>
    <row r="2032" spans="13:19" ht="16.5" customHeight="1" x14ac:dyDescent="0.2">
      <c r="M2032" s="29"/>
      <c r="N2032" s="29"/>
      <c r="O2032" s="29"/>
      <c r="P2032" s="29"/>
      <c r="Q2032" s="29"/>
      <c r="R2032" s="29"/>
      <c r="S2032" s="29"/>
    </row>
    <row r="2033" spans="13:19" ht="16.5" customHeight="1" x14ac:dyDescent="0.2">
      <c r="M2033" s="29"/>
      <c r="N2033" s="29"/>
      <c r="O2033" s="29"/>
      <c r="P2033" s="29"/>
      <c r="Q2033" s="29"/>
      <c r="R2033" s="29"/>
      <c r="S2033" s="29"/>
    </row>
    <row r="2034" spans="13:19" ht="16.5" customHeight="1" x14ac:dyDescent="0.2">
      <c r="M2034" s="29"/>
      <c r="N2034" s="29"/>
      <c r="O2034" s="29"/>
      <c r="P2034" s="29"/>
      <c r="Q2034" s="29"/>
      <c r="R2034" s="29"/>
      <c r="S2034" s="29"/>
    </row>
    <row r="2035" spans="13:19" ht="16.5" customHeight="1" x14ac:dyDescent="0.2">
      <c r="M2035" s="29"/>
      <c r="N2035" s="29"/>
      <c r="O2035" s="29"/>
      <c r="P2035" s="29"/>
      <c r="Q2035" s="29"/>
      <c r="R2035" s="29"/>
      <c r="S2035" s="29"/>
    </row>
    <row r="2036" spans="13:19" ht="16.5" customHeight="1" x14ac:dyDescent="0.2">
      <c r="M2036" s="29"/>
      <c r="N2036" s="29"/>
      <c r="O2036" s="29"/>
      <c r="P2036" s="29"/>
      <c r="Q2036" s="29"/>
      <c r="R2036" s="29"/>
      <c r="S2036" s="29"/>
    </row>
    <row r="2037" spans="13:19" ht="16.5" customHeight="1" x14ac:dyDescent="0.2">
      <c r="M2037" s="29"/>
      <c r="N2037" s="29"/>
      <c r="O2037" s="29"/>
      <c r="P2037" s="29"/>
      <c r="Q2037" s="29"/>
      <c r="R2037" s="29"/>
      <c r="S2037" s="29"/>
    </row>
    <row r="2038" spans="13:19" ht="16.5" customHeight="1" x14ac:dyDescent="0.2">
      <c r="M2038" s="29"/>
      <c r="N2038" s="29"/>
      <c r="O2038" s="29"/>
      <c r="P2038" s="29"/>
      <c r="Q2038" s="29"/>
      <c r="R2038" s="29"/>
      <c r="S2038" s="29"/>
    </row>
    <row r="2039" spans="13:19" ht="16.5" customHeight="1" x14ac:dyDescent="0.2">
      <c r="M2039" s="29"/>
      <c r="N2039" s="29"/>
      <c r="O2039" s="29"/>
      <c r="P2039" s="29"/>
      <c r="Q2039" s="29"/>
      <c r="R2039" s="29"/>
      <c r="S2039" s="29"/>
    </row>
    <row r="2040" spans="13:19" ht="16.5" customHeight="1" x14ac:dyDescent="0.2">
      <c r="M2040" s="29"/>
      <c r="N2040" s="29"/>
      <c r="O2040" s="29"/>
      <c r="P2040" s="29"/>
      <c r="Q2040" s="29"/>
      <c r="R2040" s="29"/>
      <c r="S2040" s="29"/>
    </row>
    <row r="2041" spans="13:19" ht="16.5" customHeight="1" x14ac:dyDescent="0.2">
      <c r="M2041" s="29"/>
      <c r="N2041" s="29"/>
      <c r="O2041" s="29"/>
      <c r="P2041" s="29"/>
      <c r="Q2041" s="29"/>
      <c r="R2041" s="29"/>
      <c r="S2041" s="29"/>
    </row>
    <row r="2042" spans="13:19" ht="16.5" customHeight="1" x14ac:dyDescent="0.2">
      <c r="M2042" s="29"/>
      <c r="N2042" s="29"/>
      <c r="O2042" s="29"/>
      <c r="P2042" s="29"/>
      <c r="Q2042" s="29"/>
      <c r="R2042" s="29"/>
      <c r="S2042" s="29"/>
    </row>
    <row r="2043" spans="13:19" ht="16.5" customHeight="1" x14ac:dyDescent="0.2">
      <c r="M2043" s="29"/>
      <c r="N2043" s="29"/>
      <c r="O2043" s="29"/>
      <c r="P2043" s="29"/>
      <c r="Q2043" s="29"/>
      <c r="R2043" s="29"/>
      <c r="S2043" s="29"/>
    </row>
    <row r="2044" spans="13:19" ht="16.5" customHeight="1" x14ac:dyDescent="0.2">
      <c r="M2044" s="29"/>
      <c r="N2044" s="29"/>
      <c r="O2044" s="29"/>
      <c r="P2044" s="29"/>
      <c r="Q2044" s="29"/>
      <c r="R2044" s="29"/>
      <c r="S2044" s="29"/>
    </row>
    <row r="2045" spans="13:19" ht="16.5" customHeight="1" x14ac:dyDescent="0.2">
      <c r="M2045" s="29"/>
      <c r="N2045" s="29"/>
      <c r="O2045" s="29"/>
      <c r="P2045" s="29"/>
      <c r="Q2045" s="29"/>
      <c r="R2045" s="29"/>
      <c r="S2045" s="29"/>
    </row>
    <row r="2046" spans="13:19" ht="16.5" customHeight="1" x14ac:dyDescent="0.2">
      <c r="M2046" s="29"/>
      <c r="N2046" s="29"/>
      <c r="O2046" s="29"/>
      <c r="P2046" s="29"/>
      <c r="Q2046" s="29"/>
      <c r="R2046" s="29"/>
      <c r="S2046" s="29"/>
    </row>
    <row r="2047" spans="13:19" ht="16.5" customHeight="1" x14ac:dyDescent="0.2">
      <c r="M2047" s="29"/>
      <c r="N2047" s="29"/>
      <c r="O2047" s="29"/>
      <c r="P2047" s="29"/>
      <c r="Q2047" s="29"/>
      <c r="R2047" s="29"/>
      <c r="S2047" s="29"/>
    </row>
    <row r="2048" spans="13:19" ht="16.5" customHeight="1" x14ac:dyDescent="0.2">
      <c r="M2048" s="29"/>
      <c r="N2048" s="29"/>
      <c r="O2048" s="29"/>
      <c r="P2048" s="29"/>
      <c r="Q2048" s="29"/>
      <c r="R2048" s="29"/>
      <c r="S2048" s="29"/>
    </row>
    <row r="2049" spans="13:19" ht="16.5" customHeight="1" x14ac:dyDescent="0.2">
      <c r="M2049" s="29"/>
      <c r="N2049" s="29"/>
      <c r="O2049" s="29"/>
      <c r="P2049" s="29"/>
      <c r="Q2049" s="29"/>
      <c r="R2049" s="29"/>
      <c r="S2049" s="29"/>
    </row>
    <row r="2050" spans="13:19" ht="16.5" customHeight="1" x14ac:dyDescent="0.2">
      <c r="M2050" s="29"/>
      <c r="N2050" s="29"/>
      <c r="O2050" s="29"/>
      <c r="P2050" s="29"/>
      <c r="Q2050" s="29"/>
      <c r="R2050" s="29"/>
      <c r="S2050" s="29"/>
    </row>
    <row r="2051" spans="13:19" ht="16.5" customHeight="1" x14ac:dyDescent="0.2">
      <c r="M2051" s="29"/>
      <c r="N2051" s="29"/>
      <c r="O2051" s="29"/>
      <c r="P2051" s="29"/>
      <c r="Q2051" s="29"/>
      <c r="R2051" s="29"/>
      <c r="S2051" s="29"/>
    </row>
    <row r="2052" spans="13:19" ht="16.5" customHeight="1" x14ac:dyDescent="0.2">
      <c r="M2052" s="29"/>
      <c r="N2052" s="29"/>
      <c r="O2052" s="29"/>
      <c r="P2052" s="29"/>
      <c r="Q2052" s="29"/>
      <c r="R2052" s="29"/>
      <c r="S2052" s="29"/>
    </row>
    <row r="2053" spans="13:19" ht="16.5" customHeight="1" x14ac:dyDescent="0.2">
      <c r="M2053" s="29"/>
      <c r="N2053" s="29"/>
      <c r="O2053" s="29"/>
      <c r="P2053" s="29"/>
      <c r="Q2053" s="29"/>
      <c r="R2053" s="29"/>
      <c r="S2053" s="29"/>
    </row>
    <row r="2054" spans="13:19" ht="16.5" customHeight="1" x14ac:dyDescent="0.2">
      <c r="M2054" s="29"/>
      <c r="N2054" s="29"/>
      <c r="O2054" s="29"/>
      <c r="P2054" s="29"/>
      <c r="Q2054" s="29"/>
      <c r="R2054" s="29"/>
      <c r="S2054" s="29"/>
    </row>
    <row r="2055" spans="13:19" ht="16.5" customHeight="1" x14ac:dyDescent="0.2">
      <c r="M2055" s="29"/>
      <c r="N2055" s="29"/>
      <c r="O2055" s="29"/>
      <c r="P2055" s="29"/>
      <c r="Q2055" s="29"/>
      <c r="R2055" s="29"/>
      <c r="S2055" s="29"/>
    </row>
    <row r="2056" spans="13:19" ht="16.5" customHeight="1" x14ac:dyDescent="0.2">
      <c r="M2056" s="29"/>
      <c r="N2056" s="29"/>
      <c r="O2056" s="29"/>
      <c r="P2056" s="29"/>
      <c r="Q2056" s="29"/>
      <c r="R2056" s="29"/>
      <c r="S2056" s="29"/>
    </row>
    <row r="2057" spans="13:19" ht="16.5" customHeight="1" x14ac:dyDescent="0.2">
      <c r="M2057" s="29"/>
      <c r="N2057" s="29"/>
      <c r="O2057" s="29"/>
      <c r="P2057" s="29"/>
      <c r="Q2057" s="29"/>
      <c r="R2057" s="29"/>
      <c r="S2057" s="29"/>
    </row>
    <row r="2058" spans="13:19" ht="16.5" customHeight="1" x14ac:dyDescent="0.2">
      <c r="M2058" s="29"/>
      <c r="N2058" s="29"/>
      <c r="O2058" s="29"/>
      <c r="P2058" s="29"/>
      <c r="Q2058" s="29"/>
      <c r="R2058" s="29"/>
      <c r="S2058" s="29"/>
    </row>
    <row r="2059" spans="13:19" ht="16.5" customHeight="1" x14ac:dyDescent="0.2">
      <c r="M2059" s="29"/>
      <c r="N2059" s="29"/>
      <c r="O2059" s="29"/>
      <c r="P2059" s="29"/>
      <c r="Q2059" s="29"/>
      <c r="R2059" s="29"/>
      <c r="S2059" s="29"/>
    </row>
    <row r="2060" spans="13:19" ht="16.5" customHeight="1" x14ac:dyDescent="0.2">
      <c r="M2060" s="29"/>
      <c r="N2060" s="29"/>
      <c r="O2060" s="29"/>
      <c r="P2060" s="29"/>
      <c r="Q2060" s="29"/>
      <c r="R2060" s="29"/>
      <c r="S2060" s="29"/>
    </row>
    <row r="2061" spans="13:19" ht="16.5" customHeight="1" x14ac:dyDescent="0.2">
      <c r="M2061" s="29"/>
      <c r="N2061" s="29"/>
      <c r="O2061" s="29"/>
      <c r="P2061" s="29"/>
      <c r="Q2061" s="29"/>
      <c r="R2061" s="29"/>
      <c r="S2061" s="29"/>
    </row>
    <row r="2062" spans="13:19" ht="16.5" customHeight="1" x14ac:dyDescent="0.2">
      <c r="M2062" s="29"/>
      <c r="N2062" s="29"/>
      <c r="O2062" s="29"/>
      <c r="P2062" s="29"/>
      <c r="Q2062" s="29"/>
      <c r="R2062" s="29"/>
      <c r="S2062" s="29"/>
    </row>
    <row r="2063" spans="13:19" ht="16.5" customHeight="1" x14ac:dyDescent="0.2">
      <c r="M2063" s="29"/>
      <c r="N2063" s="29"/>
      <c r="O2063" s="29"/>
      <c r="P2063" s="29"/>
      <c r="Q2063" s="29"/>
      <c r="R2063" s="29"/>
      <c r="S2063" s="29"/>
    </row>
    <row r="2064" spans="13:19" ht="16.5" customHeight="1" x14ac:dyDescent="0.2">
      <c r="M2064" s="29"/>
      <c r="N2064" s="29"/>
      <c r="O2064" s="29"/>
      <c r="P2064" s="29"/>
      <c r="Q2064" s="29"/>
      <c r="R2064" s="29"/>
      <c r="S2064" s="29"/>
    </row>
    <row r="2065" spans="13:19" ht="16.5" customHeight="1" x14ac:dyDescent="0.2">
      <c r="M2065" s="29"/>
      <c r="N2065" s="29"/>
      <c r="O2065" s="29"/>
      <c r="P2065" s="29"/>
      <c r="Q2065" s="29"/>
      <c r="R2065" s="29"/>
      <c r="S2065" s="29"/>
    </row>
    <row r="2066" spans="13:19" ht="16.5" customHeight="1" x14ac:dyDescent="0.2">
      <c r="M2066" s="29"/>
      <c r="N2066" s="29"/>
      <c r="O2066" s="29"/>
      <c r="P2066" s="29"/>
      <c r="Q2066" s="29"/>
      <c r="R2066" s="29"/>
      <c r="S2066" s="29"/>
    </row>
    <row r="2067" spans="13:19" ht="16.5" customHeight="1" x14ac:dyDescent="0.2">
      <c r="M2067" s="29"/>
      <c r="N2067" s="29"/>
      <c r="O2067" s="29"/>
      <c r="P2067" s="29"/>
      <c r="Q2067" s="29"/>
      <c r="R2067" s="29"/>
      <c r="S2067" s="29"/>
    </row>
    <row r="2068" spans="13:19" ht="16.5" customHeight="1" x14ac:dyDescent="0.2">
      <c r="M2068" s="29"/>
      <c r="N2068" s="29"/>
      <c r="O2068" s="29"/>
      <c r="P2068" s="29"/>
      <c r="Q2068" s="29"/>
      <c r="R2068" s="29"/>
      <c r="S2068" s="29"/>
    </row>
    <row r="2069" spans="13:19" ht="16.5" customHeight="1" x14ac:dyDescent="0.2">
      <c r="M2069" s="29"/>
      <c r="N2069" s="29"/>
      <c r="O2069" s="29"/>
      <c r="P2069" s="29"/>
      <c r="Q2069" s="29"/>
      <c r="R2069" s="29"/>
      <c r="S2069" s="29"/>
    </row>
    <row r="2070" spans="13:19" ht="16.5" customHeight="1" x14ac:dyDescent="0.2">
      <c r="M2070" s="29"/>
      <c r="N2070" s="29"/>
      <c r="O2070" s="29"/>
      <c r="P2070" s="29"/>
      <c r="Q2070" s="29"/>
      <c r="R2070" s="29"/>
      <c r="S2070" s="29"/>
    </row>
    <row r="2071" spans="13:19" ht="16.5" customHeight="1" x14ac:dyDescent="0.2">
      <c r="M2071" s="29"/>
      <c r="N2071" s="29"/>
      <c r="O2071" s="29"/>
      <c r="P2071" s="29"/>
      <c r="Q2071" s="29"/>
      <c r="R2071" s="29"/>
      <c r="S2071" s="29"/>
    </row>
    <row r="2072" spans="13:19" ht="16.5" customHeight="1" x14ac:dyDescent="0.2">
      <c r="M2072" s="29"/>
      <c r="N2072" s="29"/>
      <c r="O2072" s="29"/>
      <c r="P2072" s="29"/>
      <c r="Q2072" s="29"/>
      <c r="R2072" s="29"/>
      <c r="S2072" s="29"/>
    </row>
    <row r="2073" spans="13:19" ht="16.5" customHeight="1" x14ac:dyDescent="0.2">
      <c r="M2073" s="29"/>
      <c r="N2073" s="29"/>
      <c r="O2073" s="29"/>
      <c r="P2073" s="29"/>
      <c r="Q2073" s="29"/>
      <c r="R2073" s="29"/>
      <c r="S2073" s="29"/>
    </row>
    <row r="2074" spans="13:19" ht="16.5" customHeight="1" x14ac:dyDescent="0.2">
      <c r="M2074" s="29"/>
      <c r="N2074" s="29"/>
      <c r="O2074" s="29"/>
      <c r="P2074" s="29"/>
      <c r="Q2074" s="29"/>
      <c r="R2074" s="29"/>
      <c r="S2074" s="29"/>
    </row>
    <row r="2075" spans="13:19" ht="16.5" customHeight="1" x14ac:dyDescent="0.2">
      <c r="M2075" s="29"/>
      <c r="N2075" s="29"/>
      <c r="O2075" s="29"/>
      <c r="P2075" s="29"/>
      <c r="Q2075" s="29"/>
      <c r="R2075" s="29"/>
      <c r="S2075" s="29"/>
    </row>
    <row r="2076" spans="13:19" ht="16.5" customHeight="1" x14ac:dyDescent="0.2">
      <c r="M2076" s="29"/>
      <c r="N2076" s="29"/>
      <c r="O2076" s="29"/>
      <c r="P2076" s="29"/>
      <c r="Q2076" s="29"/>
      <c r="R2076" s="29"/>
      <c r="S2076" s="29"/>
    </row>
    <row r="2077" spans="13:19" ht="16.5" customHeight="1" x14ac:dyDescent="0.2">
      <c r="M2077" s="29"/>
      <c r="N2077" s="29"/>
      <c r="O2077" s="29"/>
      <c r="P2077" s="29"/>
      <c r="Q2077" s="29"/>
      <c r="R2077" s="29"/>
      <c r="S2077" s="29"/>
    </row>
    <row r="2078" spans="13:19" ht="16.5" customHeight="1" x14ac:dyDescent="0.2">
      <c r="M2078" s="29"/>
      <c r="N2078" s="29"/>
      <c r="O2078" s="29"/>
      <c r="P2078" s="29"/>
      <c r="Q2078" s="29"/>
      <c r="R2078" s="29"/>
      <c r="S2078" s="29"/>
    </row>
    <row r="2079" spans="13:19" ht="16.5" customHeight="1" x14ac:dyDescent="0.2">
      <c r="M2079" s="29"/>
      <c r="N2079" s="29"/>
      <c r="O2079" s="29"/>
      <c r="P2079" s="29"/>
      <c r="Q2079" s="29"/>
      <c r="R2079" s="29"/>
      <c r="S2079" s="29"/>
    </row>
    <row r="2080" spans="13:19" ht="16.5" customHeight="1" x14ac:dyDescent="0.2">
      <c r="M2080" s="29"/>
      <c r="N2080" s="29"/>
      <c r="O2080" s="29"/>
      <c r="P2080" s="29"/>
      <c r="Q2080" s="29"/>
      <c r="R2080" s="29"/>
      <c r="S2080" s="29"/>
    </row>
    <row r="2081" spans="13:19" ht="16.5" customHeight="1" x14ac:dyDescent="0.2">
      <c r="M2081" s="29"/>
      <c r="N2081" s="29"/>
      <c r="O2081" s="29"/>
      <c r="P2081" s="29"/>
      <c r="Q2081" s="29"/>
      <c r="R2081" s="29"/>
      <c r="S2081" s="29"/>
    </row>
    <row r="2082" spans="13:19" ht="16.5" customHeight="1" x14ac:dyDescent="0.2">
      <c r="M2082" s="29"/>
      <c r="N2082" s="29"/>
      <c r="O2082" s="29"/>
      <c r="P2082" s="29"/>
      <c r="Q2082" s="29"/>
      <c r="R2082" s="29"/>
      <c r="S2082" s="29"/>
    </row>
    <row r="2083" spans="13:19" ht="16.5" customHeight="1" x14ac:dyDescent="0.2">
      <c r="M2083" s="29"/>
      <c r="N2083" s="29"/>
      <c r="O2083" s="29"/>
      <c r="P2083" s="29"/>
      <c r="Q2083" s="29"/>
      <c r="R2083" s="29"/>
      <c r="S2083" s="29"/>
    </row>
    <row r="2084" spans="13:19" ht="16.5" customHeight="1" x14ac:dyDescent="0.2">
      <c r="M2084" s="29"/>
      <c r="N2084" s="29"/>
      <c r="O2084" s="29"/>
      <c r="P2084" s="29"/>
      <c r="Q2084" s="29"/>
      <c r="R2084" s="29"/>
      <c r="S2084" s="29"/>
    </row>
    <row r="2085" spans="13:19" ht="16.5" customHeight="1" x14ac:dyDescent="0.2">
      <c r="M2085" s="29"/>
      <c r="N2085" s="29"/>
      <c r="O2085" s="29"/>
      <c r="P2085" s="29"/>
      <c r="Q2085" s="29"/>
      <c r="R2085" s="29"/>
      <c r="S2085" s="29"/>
    </row>
    <row r="2086" spans="13:19" ht="16.5" customHeight="1" x14ac:dyDescent="0.2">
      <c r="M2086" s="29"/>
      <c r="N2086" s="29"/>
      <c r="O2086" s="29"/>
      <c r="P2086" s="29"/>
      <c r="Q2086" s="29"/>
      <c r="R2086" s="29"/>
      <c r="S2086" s="29"/>
    </row>
    <row r="2087" spans="13:19" ht="16.5" customHeight="1" x14ac:dyDescent="0.2">
      <c r="M2087" s="29"/>
      <c r="N2087" s="29"/>
      <c r="O2087" s="29"/>
      <c r="P2087" s="29"/>
      <c r="Q2087" s="29"/>
      <c r="R2087" s="29"/>
      <c r="S2087" s="29"/>
    </row>
    <row r="2088" spans="13:19" ht="16.5" customHeight="1" x14ac:dyDescent="0.2">
      <c r="M2088" s="29"/>
      <c r="N2088" s="29"/>
      <c r="O2088" s="29"/>
      <c r="P2088" s="29"/>
      <c r="Q2088" s="29"/>
      <c r="R2088" s="29"/>
      <c r="S2088" s="29"/>
    </row>
    <row r="2089" spans="13:19" ht="16.5" customHeight="1" x14ac:dyDescent="0.2">
      <c r="M2089" s="29"/>
      <c r="N2089" s="29"/>
      <c r="O2089" s="29"/>
      <c r="P2089" s="29"/>
      <c r="Q2089" s="29"/>
      <c r="R2089" s="29"/>
      <c r="S2089" s="29"/>
    </row>
    <row r="2090" spans="13:19" ht="16.5" customHeight="1" x14ac:dyDescent="0.2">
      <c r="M2090" s="29"/>
      <c r="N2090" s="29"/>
      <c r="O2090" s="29"/>
      <c r="P2090" s="29"/>
      <c r="Q2090" s="29"/>
      <c r="R2090" s="29"/>
      <c r="S2090" s="29"/>
    </row>
    <row r="2091" spans="13:19" ht="16.5" customHeight="1" x14ac:dyDescent="0.2">
      <c r="M2091" s="29"/>
      <c r="N2091" s="29"/>
      <c r="O2091" s="29"/>
      <c r="P2091" s="29"/>
      <c r="Q2091" s="29"/>
      <c r="R2091" s="29"/>
      <c r="S2091" s="29"/>
    </row>
    <row r="2092" spans="13:19" ht="16.5" customHeight="1" x14ac:dyDescent="0.2">
      <c r="M2092" s="29"/>
      <c r="N2092" s="29"/>
      <c r="O2092" s="29"/>
      <c r="P2092" s="29"/>
      <c r="Q2092" s="29"/>
      <c r="R2092" s="29"/>
      <c r="S2092" s="29"/>
    </row>
    <row r="2093" spans="13:19" ht="16.5" customHeight="1" x14ac:dyDescent="0.2">
      <c r="M2093" s="29"/>
      <c r="N2093" s="29"/>
      <c r="O2093" s="29"/>
      <c r="P2093" s="29"/>
      <c r="Q2093" s="29"/>
      <c r="R2093" s="29"/>
      <c r="S2093" s="29"/>
    </row>
    <row r="2094" spans="13:19" ht="16.5" customHeight="1" x14ac:dyDescent="0.2">
      <c r="M2094" s="29"/>
      <c r="N2094" s="29"/>
      <c r="O2094" s="29"/>
      <c r="P2094" s="29"/>
      <c r="Q2094" s="29"/>
      <c r="R2094" s="29"/>
      <c r="S2094" s="29"/>
    </row>
    <row r="2095" spans="13:19" ht="16.5" customHeight="1" x14ac:dyDescent="0.2">
      <c r="M2095" s="29"/>
      <c r="N2095" s="29"/>
      <c r="O2095" s="29"/>
      <c r="P2095" s="29"/>
      <c r="Q2095" s="29"/>
      <c r="R2095" s="29"/>
      <c r="S2095" s="29"/>
    </row>
    <row r="2096" spans="13:19" ht="16.5" customHeight="1" x14ac:dyDescent="0.2">
      <c r="M2096" s="29"/>
      <c r="N2096" s="29"/>
      <c r="O2096" s="29"/>
      <c r="P2096" s="29"/>
      <c r="Q2096" s="29"/>
      <c r="R2096" s="29"/>
      <c r="S2096" s="29"/>
    </row>
    <row r="2097" spans="13:19" ht="16.5" customHeight="1" x14ac:dyDescent="0.2">
      <c r="M2097" s="29"/>
      <c r="N2097" s="29"/>
      <c r="O2097" s="29"/>
      <c r="P2097" s="29"/>
      <c r="Q2097" s="29"/>
      <c r="R2097" s="29"/>
      <c r="S2097" s="29"/>
    </row>
    <row r="2098" spans="13:19" ht="16.5" customHeight="1" x14ac:dyDescent="0.2">
      <c r="M2098" s="29"/>
      <c r="N2098" s="29"/>
      <c r="O2098" s="29"/>
      <c r="P2098" s="29"/>
      <c r="Q2098" s="29"/>
      <c r="R2098" s="29"/>
      <c r="S2098" s="29"/>
    </row>
    <row r="2099" spans="13:19" ht="16.5" customHeight="1" x14ac:dyDescent="0.2">
      <c r="M2099" s="29"/>
      <c r="N2099" s="29"/>
      <c r="O2099" s="29"/>
      <c r="P2099" s="29"/>
      <c r="Q2099" s="29"/>
      <c r="R2099" s="29"/>
      <c r="S2099" s="29"/>
    </row>
    <row r="2100" spans="13:19" ht="16.5" customHeight="1" x14ac:dyDescent="0.2">
      <c r="M2100" s="29"/>
      <c r="N2100" s="29"/>
      <c r="O2100" s="29"/>
      <c r="P2100" s="29"/>
      <c r="Q2100" s="29"/>
      <c r="R2100" s="29"/>
      <c r="S2100" s="29"/>
    </row>
    <row r="2101" spans="13:19" ht="16.5" customHeight="1" x14ac:dyDescent="0.2">
      <c r="M2101" s="29"/>
      <c r="N2101" s="29"/>
      <c r="O2101" s="29"/>
      <c r="P2101" s="29"/>
      <c r="Q2101" s="29"/>
      <c r="R2101" s="29"/>
      <c r="S2101" s="29"/>
    </row>
    <row r="2102" spans="13:19" ht="16.5" customHeight="1" x14ac:dyDescent="0.2">
      <c r="M2102" s="29"/>
      <c r="N2102" s="29"/>
      <c r="O2102" s="29"/>
      <c r="P2102" s="29"/>
      <c r="Q2102" s="29"/>
      <c r="R2102" s="29"/>
      <c r="S2102" s="29"/>
    </row>
    <row r="2103" spans="13:19" ht="16.5" customHeight="1" x14ac:dyDescent="0.2">
      <c r="M2103" s="29"/>
      <c r="N2103" s="29"/>
      <c r="O2103" s="29"/>
      <c r="P2103" s="29"/>
      <c r="Q2103" s="29"/>
      <c r="R2103" s="29"/>
      <c r="S2103" s="29"/>
    </row>
    <row r="2104" spans="13:19" ht="16.5" customHeight="1" x14ac:dyDescent="0.2">
      <c r="M2104" s="29"/>
      <c r="N2104" s="29"/>
      <c r="O2104" s="29"/>
      <c r="P2104" s="29"/>
      <c r="Q2104" s="29"/>
      <c r="R2104" s="29"/>
      <c r="S2104" s="29"/>
    </row>
    <row r="2105" spans="13:19" ht="16.5" customHeight="1" x14ac:dyDescent="0.2">
      <c r="M2105" s="29"/>
      <c r="N2105" s="29"/>
      <c r="O2105" s="29"/>
      <c r="P2105" s="29"/>
      <c r="Q2105" s="29"/>
      <c r="R2105" s="29"/>
      <c r="S2105" s="29"/>
    </row>
    <row r="2106" spans="13:19" ht="16.5" customHeight="1" x14ac:dyDescent="0.2">
      <c r="M2106" s="29"/>
      <c r="N2106" s="29"/>
      <c r="O2106" s="29"/>
      <c r="P2106" s="29"/>
      <c r="Q2106" s="29"/>
      <c r="R2106" s="29"/>
      <c r="S2106" s="29"/>
    </row>
    <row r="2107" spans="13:19" ht="16.5" customHeight="1" x14ac:dyDescent="0.2">
      <c r="M2107" s="29"/>
      <c r="N2107" s="29"/>
      <c r="O2107" s="29"/>
      <c r="P2107" s="29"/>
      <c r="Q2107" s="29"/>
      <c r="R2107" s="29"/>
      <c r="S2107" s="29"/>
    </row>
    <row r="2108" spans="13:19" ht="16.5" customHeight="1" x14ac:dyDescent="0.2">
      <c r="M2108" s="29"/>
      <c r="N2108" s="29"/>
      <c r="O2108" s="29"/>
      <c r="P2108" s="29"/>
      <c r="Q2108" s="29"/>
      <c r="R2108" s="29"/>
      <c r="S2108" s="29"/>
    </row>
    <row r="2109" spans="13:19" ht="16.5" customHeight="1" x14ac:dyDescent="0.2">
      <c r="M2109" s="29"/>
      <c r="N2109" s="29"/>
      <c r="O2109" s="29"/>
      <c r="P2109" s="29"/>
      <c r="Q2109" s="29"/>
      <c r="R2109" s="29"/>
      <c r="S2109" s="29"/>
    </row>
    <row r="2110" spans="13:19" ht="16.5" customHeight="1" x14ac:dyDescent="0.2">
      <c r="M2110" s="29"/>
      <c r="N2110" s="29"/>
      <c r="O2110" s="29"/>
      <c r="P2110" s="29"/>
      <c r="Q2110" s="29"/>
      <c r="R2110" s="29"/>
      <c r="S2110" s="29"/>
    </row>
    <row r="2111" spans="13:19" ht="16.5" customHeight="1" x14ac:dyDescent="0.2">
      <c r="M2111" s="29"/>
      <c r="N2111" s="29"/>
      <c r="O2111" s="29"/>
      <c r="P2111" s="29"/>
      <c r="Q2111" s="29"/>
      <c r="R2111" s="29"/>
      <c r="S2111" s="29"/>
    </row>
    <row r="2112" spans="13:19" ht="16.5" customHeight="1" x14ac:dyDescent="0.2">
      <c r="M2112" s="29"/>
      <c r="N2112" s="29"/>
      <c r="O2112" s="29"/>
      <c r="P2112" s="29"/>
      <c r="Q2112" s="29"/>
      <c r="R2112" s="29"/>
      <c r="S2112" s="29"/>
    </row>
    <row r="2113" spans="13:19" ht="16.5" customHeight="1" x14ac:dyDescent="0.2">
      <c r="M2113" s="29"/>
      <c r="N2113" s="29"/>
      <c r="O2113" s="29"/>
      <c r="P2113" s="29"/>
      <c r="Q2113" s="29"/>
      <c r="R2113" s="29"/>
      <c r="S2113" s="29"/>
    </row>
    <row r="2114" spans="13:19" ht="16.5" customHeight="1" x14ac:dyDescent="0.2">
      <c r="M2114" s="29"/>
      <c r="N2114" s="29"/>
      <c r="O2114" s="29"/>
      <c r="P2114" s="29"/>
      <c r="Q2114" s="29"/>
      <c r="R2114" s="29"/>
      <c r="S2114" s="29"/>
    </row>
    <row r="2115" spans="13:19" ht="16.5" customHeight="1" x14ac:dyDescent="0.2">
      <c r="M2115" s="29"/>
      <c r="N2115" s="29"/>
      <c r="O2115" s="29"/>
      <c r="P2115" s="29"/>
      <c r="Q2115" s="29"/>
      <c r="R2115" s="29"/>
      <c r="S2115" s="29"/>
    </row>
    <row r="2116" spans="13:19" ht="16.5" customHeight="1" x14ac:dyDescent="0.2">
      <c r="M2116" s="29"/>
      <c r="N2116" s="29"/>
      <c r="O2116" s="29"/>
      <c r="P2116" s="29"/>
      <c r="Q2116" s="29"/>
      <c r="R2116" s="29"/>
      <c r="S2116" s="29"/>
    </row>
    <row r="2117" spans="13:19" ht="16.5" customHeight="1" x14ac:dyDescent="0.2">
      <c r="M2117" s="29"/>
      <c r="N2117" s="29"/>
      <c r="O2117" s="29"/>
      <c r="P2117" s="29"/>
      <c r="Q2117" s="29"/>
      <c r="R2117" s="29"/>
      <c r="S2117" s="29"/>
    </row>
    <row r="2118" spans="13:19" ht="16.5" customHeight="1" x14ac:dyDescent="0.2">
      <c r="M2118" s="29"/>
      <c r="N2118" s="29"/>
      <c r="O2118" s="29"/>
      <c r="P2118" s="29"/>
      <c r="Q2118" s="29"/>
      <c r="R2118" s="29"/>
      <c r="S2118" s="29"/>
    </row>
    <row r="2119" spans="13:19" ht="16.5" customHeight="1" x14ac:dyDescent="0.2">
      <c r="M2119" s="29"/>
      <c r="N2119" s="29"/>
      <c r="O2119" s="29"/>
      <c r="P2119" s="29"/>
      <c r="Q2119" s="29"/>
      <c r="R2119" s="29"/>
      <c r="S2119" s="29"/>
    </row>
    <row r="2120" spans="13:19" ht="16.5" customHeight="1" x14ac:dyDescent="0.2">
      <c r="M2120" s="29"/>
      <c r="N2120" s="29"/>
      <c r="O2120" s="29"/>
      <c r="P2120" s="29"/>
      <c r="Q2120" s="29"/>
      <c r="R2120" s="29"/>
      <c r="S2120" s="29"/>
    </row>
    <row r="2121" spans="13:19" ht="16.5" customHeight="1" x14ac:dyDescent="0.2">
      <c r="M2121" s="29"/>
      <c r="N2121" s="29"/>
      <c r="O2121" s="29"/>
      <c r="P2121" s="29"/>
      <c r="Q2121" s="29"/>
      <c r="R2121" s="29"/>
      <c r="S2121" s="29"/>
    </row>
    <row r="2122" spans="13:19" ht="16.5" customHeight="1" x14ac:dyDescent="0.2">
      <c r="M2122" s="29"/>
      <c r="N2122" s="29"/>
      <c r="O2122" s="29"/>
      <c r="P2122" s="29"/>
      <c r="Q2122" s="29"/>
      <c r="R2122" s="29"/>
      <c r="S2122" s="29"/>
    </row>
    <row r="2123" spans="13:19" ht="16.5" customHeight="1" x14ac:dyDescent="0.2">
      <c r="M2123" s="29"/>
      <c r="N2123" s="29"/>
      <c r="O2123" s="29"/>
      <c r="P2123" s="29"/>
      <c r="Q2123" s="29"/>
      <c r="R2123" s="29"/>
      <c r="S2123" s="29"/>
    </row>
    <row r="2124" spans="13:19" ht="16.5" customHeight="1" x14ac:dyDescent="0.2">
      <c r="M2124" s="29"/>
      <c r="N2124" s="29"/>
      <c r="O2124" s="29"/>
      <c r="P2124" s="29"/>
      <c r="Q2124" s="29"/>
      <c r="R2124" s="29"/>
      <c r="S2124" s="29"/>
    </row>
    <row r="2125" spans="13:19" ht="16.5" customHeight="1" x14ac:dyDescent="0.2">
      <c r="M2125" s="29"/>
      <c r="N2125" s="29"/>
      <c r="O2125" s="29"/>
      <c r="P2125" s="29"/>
      <c r="Q2125" s="29"/>
      <c r="R2125" s="29"/>
      <c r="S2125" s="29"/>
    </row>
    <row r="2126" spans="13:19" ht="16.5" customHeight="1" x14ac:dyDescent="0.2">
      <c r="M2126" s="29"/>
      <c r="N2126" s="29"/>
      <c r="O2126" s="29"/>
      <c r="P2126" s="29"/>
      <c r="Q2126" s="29"/>
      <c r="R2126" s="29"/>
      <c r="S2126" s="29"/>
    </row>
    <row r="2127" spans="13:19" ht="16.5" customHeight="1" x14ac:dyDescent="0.2">
      <c r="M2127" s="29"/>
      <c r="N2127" s="29"/>
      <c r="O2127" s="29"/>
      <c r="P2127" s="29"/>
      <c r="Q2127" s="29"/>
      <c r="R2127" s="29"/>
      <c r="S2127" s="29"/>
    </row>
    <row r="2128" spans="13:19" ht="16.5" customHeight="1" x14ac:dyDescent="0.2">
      <c r="M2128" s="29"/>
      <c r="N2128" s="29"/>
      <c r="O2128" s="29"/>
      <c r="P2128" s="29"/>
      <c r="Q2128" s="29"/>
      <c r="R2128" s="29"/>
      <c r="S2128" s="29"/>
    </row>
    <row r="2129" spans="13:19" ht="16.5" customHeight="1" x14ac:dyDescent="0.2">
      <c r="M2129" s="29"/>
      <c r="N2129" s="29"/>
      <c r="O2129" s="29"/>
      <c r="P2129" s="29"/>
      <c r="Q2129" s="29"/>
      <c r="R2129" s="29"/>
      <c r="S2129" s="29"/>
    </row>
    <row r="2130" spans="13:19" ht="16.5" customHeight="1" x14ac:dyDescent="0.2">
      <c r="M2130" s="29"/>
      <c r="N2130" s="29"/>
      <c r="O2130" s="29"/>
      <c r="P2130" s="29"/>
      <c r="Q2130" s="29"/>
      <c r="R2130" s="29"/>
      <c r="S2130" s="29"/>
    </row>
    <row r="2131" spans="13:19" ht="16.5" customHeight="1" x14ac:dyDescent="0.2">
      <c r="M2131" s="29"/>
      <c r="N2131" s="29"/>
      <c r="O2131" s="29"/>
      <c r="P2131" s="29"/>
      <c r="Q2131" s="29"/>
      <c r="R2131" s="29"/>
      <c r="S2131" s="29"/>
    </row>
    <row r="2132" spans="13:19" ht="16.5" customHeight="1" x14ac:dyDescent="0.2">
      <c r="M2132" s="29"/>
      <c r="N2132" s="29"/>
      <c r="O2132" s="29"/>
      <c r="P2132" s="29"/>
      <c r="Q2132" s="29"/>
      <c r="R2132" s="29"/>
      <c r="S2132" s="29"/>
    </row>
    <row r="2133" spans="13:19" ht="16.5" customHeight="1" x14ac:dyDescent="0.2">
      <c r="M2133" s="29"/>
      <c r="N2133" s="29"/>
      <c r="O2133" s="29"/>
      <c r="P2133" s="29"/>
      <c r="Q2133" s="29"/>
      <c r="R2133" s="29"/>
      <c r="S2133" s="29"/>
    </row>
    <row r="2134" spans="13:19" ht="16.5" customHeight="1" x14ac:dyDescent="0.2">
      <c r="M2134" s="29"/>
      <c r="N2134" s="29"/>
      <c r="O2134" s="29"/>
      <c r="P2134" s="29"/>
      <c r="Q2134" s="29"/>
      <c r="R2134" s="29"/>
      <c r="S2134" s="29"/>
    </row>
    <row r="2135" spans="13:19" ht="16.5" customHeight="1" x14ac:dyDescent="0.2">
      <c r="M2135" s="29"/>
      <c r="N2135" s="29"/>
      <c r="O2135" s="29"/>
      <c r="P2135" s="29"/>
      <c r="Q2135" s="29"/>
      <c r="R2135" s="29"/>
      <c r="S2135" s="29"/>
    </row>
    <row r="2136" spans="13:19" ht="16.5" customHeight="1" x14ac:dyDescent="0.2">
      <c r="M2136" s="29"/>
      <c r="N2136" s="29"/>
      <c r="O2136" s="29"/>
      <c r="P2136" s="29"/>
      <c r="Q2136" s="29"/>
      <c r="R2136" s="29"/>
      <c r="S2136" s="29"/>
    </row>
    <row r="2137" spans="13:19" ht="16.5" customHeight="1" x14ac:dyDescent="0.2">
      <c r="M2137" s="29"/>
      <c r="N2137" s="29"/>
      <c r="O2137" s="29"/>
      <c r="P2137" s="29"/>
      <c r="Q2137" s="29"/>
      <c r="R2137" s="29"/>
      <c r="S2137" s="29"/>
    </row>
    <row r="2138" spans="13:19" ht="16.5" customHeight="1" x14ac:dyDescent="0.2">
      <c r="M2138" s="29"/>
      <c r="N2138" s="29"/>
      <c r="O2138" s="29"/>
      <c r="P2138" s="29"/>
      <c r="Q2138" s="29"/>
      <c r="R2138" s="29"/>
      <c r="S2138" s="29"/>
    </row>
    <row r="2139" spans="13:19" ht="16.5" customHeight="1" x14ac:dyDescent="0.2">
      <c r="M2139" s="29"/>
      <c r="N2139" s="29"/>
      <c r="O2139" s="29"/>
      <c r="P2139" s="29"/>
      <c r="Q2139" s="29"/>
      <c r="R2139" s="29"/>
      <c r="S2139" s="29"/>
    </row>
    <row r="2140" spans="13:19" ht="16.5" customHeight="1" x14ac:dyDescent="0.2">
      <c r="M2140" s="29"/>
      <c r="N2140" s="29"/>
      <c r="O2140" s="29"/>
      <c r="P2140" s="29"/>
      <c r="Q2140" s="29"/>
      <c r="R2140" s="29"/>
      <c r="S2140" s="29"/>
    </row>
    <row r="2141" spans="13:19" ht="16.5" customHeight="1" x14ac:dyDescent="0.2">
      <c r="M2141" s="29"/>
      <c r="N2141" s="29"/>
      <c r="O2141" s="29"/>
      <c r="P2141" s="29"/>
      <c r="Q2141" s="29"/>
      <c r="R2141" s="29"/>
      <c r="S2141" s="29"/>
    </row>
    <row r="2142" spans="13:19" ht="16.5" customHeight="1" x14ac:dyDescent="0.2">
      <c r="M2142" s="29"/>
      <c r="N2142" s="29"/>
      <c r="O2142" s="29"/>
      <c r="P2142" s="29"/>
      <c r="Q2142" s="29"/>
      <c r="R2142" s="29"/>
      <c r="S2142" s="29"/>
    </row>
    <row r="2143" spans="13:19" ht="16.5" customHeight="1" x14ac:dyDescent="0.2">
      <c r="M2143" s="29"/>
      <c r="N2143" s="29"/>
      <c r="O2143" s="29"/>
      <c r="P2143" s="29"/>
      <c r="Q2143" s="29"/>
      <c r="R2143" s="29"/>
      <c r="S2143" s="29"/>
    </row>
    <row r="2144" spans="13:19" ht="16.5" customHeight="1" x14ac:dyDescent="0.2">
      <c r="M2144" s="29"/>
      <c r="N2144" s="29"/>
      <c r="O2144" s="29"/>
      <c r="P2144" s="29"/>
      <c r="Q2144" s="29"/>
      <c r="R2144" s="29"/>
      <c r="S2144" s="29"/>
    </row>
    <row r="2145" spans="13:19" ht="16.5" customHeight="1" x14ac:dyDescent="0.2">
      <c r="M2145" s="29"/>
      <c r="N2145" s="29"/>
      <c r="O2145" s="29"/>
      <c r="P2145" s="29"/>
      <c r="Q2145" s="29"/>
      <c r="R2145" s="29"/>
      <c r="S2145" s="29"/>
    </row>
    <row r="2146" spans="13:19" ht="16.5" customHeight="1" x14ac:dyDescent="0.2">
      <c r="M2146" s="29"/>
      <c r="N2146" s="29"/>
      <c r="O2146" s="29"/>
      <c r="P2146" s="29"/>
      <c r="Q2146" s="29"/>
      <c r="R2146" s="29"/>
      <c r="S2146" s="29"/>
    </row>
    <row r="2147" spans="13:19" ht="16.5" customHeight="1" x14ac:dyDescent="0.2">
      <c r="M2147" s="29"/>
      <c r="N2147" s="29"/>
      <c r="O2147" s="29"/>
      <c r="P2147" s="29"/>
      <c r="Q2147" s="29"/>
      <c r="R2147" s="29"/>
      <c r="S2147" s="29"/>
    </row>
    <row r="2148" spans="13:19" ht="16.5" customHeight="1" x14ac:dyDescent="0.2">
      <c r="M2148" s="29"/>
      <c r="N2148" s="29"/>
      <c r="O2148" s="29"/>
      <c r="P2148" s="29"/>
      <c r="Q2148" s="29"/>
      <c r="R2148" s="29"/>
      <c r="S2148" s="29"/>
    </row>
    <row r="2149" spans="13:19" ht="16.5" customHeight="1" x14ac:dyDescent="0.2">
      <c r="M2149" s="29"/>
      <c r="N2149" s="29"/>
      <c r="O2149" s="29"/>
      <c r="P2149" s="29"/>
      <c r="Q2149" s="29"/>
      <c r="R2149" s="29"/>
      <c r="S2149" s="29"/>
    </row>
    <row r="2150" spans="13:19" ht="16.5" customHeight="1" x14ac:dyDescent="0.2">
      <c r="M2150" s="29"/>
      <c r="N2150" s="29"/>
      <c r="O2150" s="29"/>
      <c r="P2150" s="29"/>
      <c r="Q2150" s="29"/>
      <c r="R2150" s="29"/>
      <c r="S2150" s="29"/>
    </row>
    <row r="2151" spans="13:19" ht="16.5" customHeight="1" x14ac:dyDescent="0.2">
      <c r="M2151" s="29"/>
      <c r="N2151" s="29"/>
      <c r="O2151" s="29"/>
      <c r="P2151" s="29"/>
      <c r="Q2151" s="29"/>
      <c r="R2151" s="29"/>
      <c r="S2151" s="29"/>
    </row>
    <row r="2152" spans="13:19" ht="16.5" customHeight="1" x14ac:dyDescent="0.2">
      <c r="M2152" s="29"/>
      <c r="N2152" s="29"/>
      <c r="O2152" s="29"/>
      <c r="P2152" s="29"/>
      <c r="Q2152" s="29"/>
      <c r="R2152" s="29"/>
      <c r="S2152" s="29"/>
    </row>
    <row r="2153" spans="13:19" ht="16.5" customHeight="1" x14ac:dyDescent="0.2">
      <c r="M2153" s="29"/>
      <c r="N2153" s="29"/>
      <c r="O2153" s="29"/>
      <c r="P2153" s="29"/>
      <c r="Q2153" s="29"/>
      <c r="R2153" s="29"/>
      <c r="S2153" s="29"/>
    </row>
    <row r="2154" spans="13:19" ht="16.5" customHeight="1" x14ac:dyDescent="0.2">
      <c r="M2154" s="29"/>
      <c r="N2154" s="29"/>
      <c r="O2154" s="29"/>
      <c r="P2154" s="29"/>
      <c r="Q2154" s="29"/>
      <c r="R2154" s="29"/>
      <c r="S2154" s="29"/>
    </row>
    <row r="2155" spans="13:19" ht="16.5" customHeight="1" x14ac:dyDescent="0.2">
      <c r="M2155" s="29"/>
      <c r="N2155" s="29"/>
      <c r="O2155" s="29"/>
      <c r="P2155" s="29"/>
      <c r="Q2155" s="29"/>
      <c r="R2155" s="29"/>
      <c r="S2155" s="29"/>
    </row>
    <row r="2156" spans="13:19" ht="16.5" customHeight="1" x14ac:dyDescent="0.2">
      <c r="M2156" s="29"/>
      <c r="N2156" s="29"/>
      <c r="O2156" s="29"/>
      <c r="P2156" s="29"/>
      <c r="Q2156" s="29"/>
      <c r="R2156" s="29"/>
      <c r="S2156" s="29"/>
    </row>
    <row r="2157" spans="13:19" ht="16.5" customHeight="1" x14ac:dyDescent="0.2">
      <c r="M2157" s="29"/>
      <c r="N2157" s="29"/>
      <c r="O2157" s="29"/>
      <c r="P2157" s="29"/>
      <c r="Q2157" s="29"/>
      <c r="R2157" s="29"/>
      <c r="S2157" s="29"/>
    </row>
    <row r="2158" spans="13:19" ht="16.5" customHeight="1" x14ac:dyDescent="0.2">
      <c r="M2158" s="29"/>
      <c r="N2158" s="29"/>
      <c r="O2158" s="29"/>
      <c r="P2158" s="29"/>
      <c r="Q2158" s="29"/>
      <c r="R2158" s="29"/>
      <c r="S2158" s="29"/>
    </row>
    <row r="2159" spans="13:19" ht="16.5" customHeight="1" x14ac:dyDescent="0.2">
      <c r="M2159" s="29"/>
      <c r="N2159" s="29"/>
      <c r="O2159" s="29"/>
      <c r="P2159" s="29"/>
      <c r="Q2159" s="29"/>
      <c r="R2159" s="29"/>
      <c r="S2159" s="29"/>
    </row>
    <row r="2160" spans="13:19" ht="16.5" customHeight="1" x14ac:dyDescent="0.2">
      <c r="M2160" s="29"/>
      <c r="N2160" s="29"/>
      <c r="O2160" s="29"/>
      <c r="P2160" s="29"/>
      <c r="Q2160" s="29"/>
      <c r="R2160" s="29"/>
      <c r="S2160" s="29"/>
    </row>
    <row r="2161" spans="13:19" ht="16.5" customHeight="1" x14ac:dyDescent="0.2">
      <c r="M2161" s="29"/>
      <c r="N2161" s="29"/>
      <c r="O2161" s="29"/>
      <c r="P2161" s="29"/>
      <c r="Q2161" s="29"/>
      <c r="R2161" s="29"/>
      <c r="S2161" s="29"/>
    </row>
    <row r="2162" spans="13:19" ht="16.5" customHeight="1" x14ac:dyDescent="0.2">
      <c r="M2162" s="29"/>
      <c r="N2162" s="29"/>
      <c r="O2162" s="29"/>
      <c r="P2162" s="29"/>
      <c r="Q2162" s="29"/>
      <c r="R2162" s="29"/>
      <c r="S2162" s="29"/>
    </row>
    <row r="2163" spans="13:19" ht="16.5" customHeight="1" x14ac:dyDescent="0.2">
      <c r="M2163" s="29"/>
      <c r="N2163" s="29"/>
      <c r="O2163" s="29"/>
      <c r="P2163" s="29"/>
      <c r="Q2163" s="29"/>
      <c r="R2163" s="29"/>
      <c r="S2163" s="29"/>
    </row>
    <row r="2164" spans="13:19" ht="16.5" customHeight="1" x14ac:dyDescent="0.2">
      <c r="M2164" s="29"/>
      <c r="N2164" s="29"/>
      <c r="O2164" s="29"/>
      <c r="P2164" s="29"/>
      <c r="Q2164" s="29"/>
      <c r="R2164" s="29"/>
      <c r="S2164" s="29"/>
    </row>
    <row r="2165" spans="13:19" ht="16.5" customHeight="1" x14ac:dyDescent="0.2">
      <c r="M2165" s="29"/>
      <c r="N2165" s="29"/>
      <c r="O2165" s="29"/>
      <c r="P2165" s="29"/>
      <c r="Q2165" s="29"/>
      <c r="R2165" s="29"/>
      <c r="S2165" s="29"/>
    </row>
    <row r="2166" spans="13:19" ht="16.5" customHeight="1" x14ac:dyDescent="0.2">
      <c r="M2166" s="29"/>
      <c r="N2166" s="29"/>
      <c r="O2166" s="29"/>
      <c r="P2166" s="29"/>
      <c r="Q2166" s="29"/>
      <c r="R2166" s="29"/>
      <c r="S2166" s="29"/>
    </row>
    <row r="2167" spans="13:19" ht="16.5" customHeight="1" x14ac:dyDescent="0.2">
      <c r="M2167" s="29"/>
      <c r="N2167" s="29"/>
      <c r="O2167" s="29"/>
      <c r="P2167" s="29"/>
      <c r="Q2167" s="29"/>
      <c r="R2167" s="29"/>
      <c r="S2167" s="29"/>
    </row>
    <row r="2168" spans="13:19" ht="16.5" customHeight="1" x14ac:dyDescent="0.2">
      <c r="M2168" s="29"/>
      <c r="N2168" s="29"/>
      <c r="O2168" s="29"/>
      <c r="P2168" s="29"/>
      <c r="Q2168" s="29"/>
      <c r="R2168" s="29"/>
      <c r="S2168" s="29"/>
    </row>
    <row r="2169" spans="13:19" ht="16.5" customHeight="1" x14ac:dyDescent="0.2">
      <c r="M2169" s="29"/>
      <c r="N2169" s="29"/>
      <c r="O2169" s="29"/>
      <c r="P2169" s="29"/>
      <c r="Q2169" s="29"/>
      <c r="R2169" s="29"/>
      <c r="S2169" s="29"/>
    </row>
    <row r="2170" spans="13:19" ht="16.5" customHeight="1" x14ac:dyDescent="0.2">
      <c r="M2170" s="29"/>
      <c r="N2170" s="29"/>
      <c r="O2170" s="29"/>
      <c r="P2170" s="29"/>
      <c r="Q2170" s="29"/>
      <c r="R2170" s="29"/>
      <c r="S2170" s="29"/>
    </row>
    <row r="2171" spans="13:19" ht="16.5" customHeight="1" x14ac:dyDescent="0.2">
      <c r="M2171" s="29"/>
      <c r="N2171" s="29"/>
      <c r="O2171" s="29"/>
      <c r="P2171" s="29"/>
      <c r="Q2171" s="29"/>
      <c r="R2171" s="29"/>
      <c r="S2171" s="29"/>
    </row>
    <row r="2172" spans="13:19" ht="16.5" customHeight="1" x14ac:dyDescent="0.2">
      <c r="M2172" s="29"/>
      <c r="N2172" s="29"/>
      <c r="O2172" s="29"/>
      <c r="P2172" s="29"/>
      <c r="Q2172" s="29"/>
      <c r="R2172" s="29"/>
      <c r="S2172" s="29"/>
    </row>
    <row r="2173" spans="13:19" ht="16.5" customHeight="1" x14ac:dyDescent="0.2">
      <c r="M2173" s="29"/>
      <c r="N2173" s="29"/>
      <c r="O2173" s="29"/>
      <c r="P2173" s="29"/>
      <c r="Q2173" s="29"/>
      <c r="R2173" s="29"/>
      <c r="S2173" s="29"/>
    </row>
    <row r="2174" spans="13:19" ht="16.5" customHeight="1" x14ac:dyDescent="0.2">
      <c r="M2174" s="29"/>
      <c r="N2174" s="29"/>
      <c r="O2174" s="29"/>
      <c r="P2174" s="29"/>
      <c r="Q2174" s="29"/>
      <c r="R2174" s="29"/>
      <c r="S2174" s="29"/>
    </row>
    <row r="2175" spans="13:19" ht="16.5" customHeight="1" x14ac:dyDescent="0.2">
      <c r="M2175" s="29"/>
      <c r="N2175" s="29"/>
      <c r="O2175" s="29"/>
      <c r="P2175" s="29"/>
      <c r="Q2175" s="29"/>
      <c r="R2175" s="29"/>
      <c r="S2175" s="29"/>
    </row>
    <row r="2176" spans="13:19" ht="16.5" customHeight="1" x14ac:dyDescent="0.2">
      <c r="M2176" s="29"/>
      <c r="N2176" s="29"/>
      <c r="O2176" s="29"/>
      <c r="P2176" s="29"/>
      <c r="Q2176" s="29"/>
      <c r="R2176" s="29"/>
      <c r="S2176" s="29"/>
    </row>
    <row r="2177" spans="13:19" ht="16.5" customHeight="1" x14ac:dyDescent="0.2">
      <c r="M2177" s="29"/>
      <c r="N2177" s="29"/>
      <c r="O2177" s="29"/>
      <c r="P2177" s="29"/>
      <c r="Q2177" s="29"/>
      <c r="R2177" s="29"/>
      <c r="S2177" s="29"/>
    </row>
    <row r="2178" spans="13:19" ht="16.5" customHeight="1" x14ac:dyDescent="0.2">
      <c r="M2178" s="29"/>
      <c r="N2178" s="29"/>
      <c r="O2178" s="29"/>
      <c r="P2178" s="29"/>
      <c r="Q2178" s="29"/>
      <c r="R2178" s="29"/>
      <c r="S2178" s="29"/>
    </row>
    <row r="2179" spans="13:19" ht="16.5" customHeight="1" x14ac:dyDescent="0.2">
      <c r="M2179" s="29"/>
      <c r="N2179" s="29"/>
      <c r="O2179" s="29"/>
      <c r="P2179" s="29"/>
      <c r="Q2179" s="29"/>
      <c r="R2179" s="29"/>
      <c r="S2179" s="29"/>
    </row>
    <row r="2180" spans="13:19" ht="16.5" customHeight="1" x14ac:dyDescent="0.2">
      <c r="M2180" s="29"/>
      <c r="N2180" s="29"/>
      <c r="O2180" s="29"/>
      <c r="P2180" s="29"/>
      <c r="Q2180" s="29"/>
      <c r="R2180" s="29"/>
      <c r="S2180" s="29"/>
    </row>
    <row r="2181" spans="13:19" ht="16.5" customHeight="1" x14ac:dyDescent="0.2">
      <c r="M2181" s="29"/>
      <c r="N2181" s="29"/>
      <c r="O2181" s="29"/>
      <c r="P2181" s="29"/>
      <c r="Q2181" s="29"/>
      <c r="R2181" s="29"/>
      <c r="S2181" s="29"/>
    </row>
    <row r="2182" spans="13:19" ht="16.5" customHeight="1" x14ac:dyDescent="0.2">
      <c r="M2182" s="29"/>
      <c r="N2182" s="29"/>
      <c r="O2182" s="29"/>
      <c r="P2182" s="29"/>
      <c r="Q2182" s="29"/>
      <c r="R2182" s="29"/>
      <c r="S2182" s="29"/>
    </row>
    <row r="2183" spans="13:19" ht="16.5" customHeight="1" x14ac:dyDescent="0.2">
      <c r="M2183" s="29"/>
      <c r="N2183" s="29"/>
      <c r="O2183" s="29"/>
      <c r="P2183" s="29"/>
      <c r="Q2183" s="29"/>
      <c r="R2183" s="29"/>
      <c r="S2183" s="29"/>
    </row>
    <row r="2184" spans="13:19" ht="16.5" customHeight="1" x14ac:dyDescent="0.2">
      <c r="M2184" s="29"/>
      <c r="N2184" s="29"/>
      <c r="O2184" s="29"/>
      <c r="P2184" s="29"/>
      <c r="Q2184" s="29"/>
      <c r="R2184" s="29"/>
      <c r="S2184" s="29"/>
    </row>
    <row r="2185" spans="13:19" ht="16.5" customHeight="1" x14ac:dyDescent="0.2">
      <c r="M2185" s="29"/>
      <c r="N2185" s="29"/>
      <c r="O2185" s="29"/>
      <c r="P2185" s="29"/>
      <c r="Q2185" s="29"/>
      <c r="R2185" s="29"/>
      <c r="S2185" s="29"/>
    </row>
    <row r="2186" spans="13:19" ht="16.5" customHeight="1" x14ac:dyDescent="0.2">
      <c r="M2186" s="29"/>
      <c r="N2186" s="29"/>
      <c r="O2186" s="29"/>
      <c r="P2186" s="29"/>
      <c r="Q2186" s="29"/>
      <c r="R2186" s="29"/>
      <c r="S2186" s="29"/>
    </row>
    <row r="2187" spans="13:19" ht="16.5" customHeight="1" x14ac:dyDescent="0.2">
      <c r="M2187" s="29"/>
      <c r="N2187" s="29"/>
      <c r="O2187" s="29"/>
      <c r="P2187" s="29"/>
      <c r="Q2187" s="29"/>
      <c r="R2187" s="29"/>
      <c r="S2187" s="29"/>
    </row>
    <row r="2188" spans="13:19" ht="16.5" customHeight="1" x14ac:dyDescent="0.2">
      <c r="M2188" s="29"/>
      <c r="N2188" s="29"/>
      <c r="O2188" s="29"/>
      <c r="P2188" s="29"/>
      <c r="Q2188" s="29"/>
      <c r="R2188" s="29"/>
      <c r="S2188" s="29"/>
    </row>
    <row r="2189" spans="13:19" ht="16.5" customHeight="1" x14ac:dyDescent="0.2">
      <c r="M2189" s="29"/>
      <c r="N2189" s="29"/>
      <c r="O2189" s="29"/>
      <c r="P2189" s="29"/>
      <c r="Q2189" s="29"/>
      <c r="R2189" s="29"/>
      <c r="S2189" s="29"/>
    </row>
    <row r="2190" spans="13:19" ht="16.5" customHeight="1" x14ac:dyDescent="0.2">
      <c r="M2190" s="29"/>
      <c r="N2190" s="29"/>
      <c r="O2190" s="29"/>
      <c r="P2190" s="29"/>
      <c r="Q2190" s="29"/>
      <c r="R2190" s="29"/>
      <c r="S2190" s="29"/>
    </row>
    <row r="2191" spans="13:19" ht="16.5" customHeight="1" x14ac:dyDescent="0.2">
      <c r="M2191" s="29"/>
      <c r="N2191" s="29"/>
      <c r="O2191" s="29"/>
      <c r="P2191" s="29"/>
      <c r="Q2191" s="29"/>
      <c r="R2191" s="29"/>
      <c r="S2191" s="29"/>
    </row>
    <row r="2192" spans="13:19" ht="16.5" customHeight="1" x14ac:dyDescent="0.2">
      <c r="M2192" s="29"/>
      <c r="N2192" s="29"/>
      <c r="O2192" s="29"/>
      <c r="P2192" s="29"/>
      <c r="Q2192" s="29"/>
      <c r="R2192" s="29"/>
      <c r="S2192" s="29"/>
    </row>
    <row r="2193" spans="13:19" ht="16.5" customHeight="1" x14ac:dyDescent="0.2">
      <c r="M2193" s="29"/>
      <c r="N2193" s="29"/>
      <c r="O2193" s="29"/>
      <c r="P2193" s="29"/>
      <c r="Q2193" s="29"/>
      <c r="R2193" s="29"/>
      <c r="S2193" s="29"/>
    </row>
    <row r="2194" spans="13:19" ht="16.5" customHeight="1" x14ac:dyDescent="0.2">
      <c r="M2194" s="29"/>
      <c r="N2194" s="29"/>
      <c r="O2194" s="29"/>
      <c r="P2194" s="29"/>
      <c r="Q2194" s="29"/>
      <c r="R2194" s="29"/>
      <c r="S2194" s="29"/>
    </row>
    <row r="2195" spans="13:19" ht="16.5" customHeight="1" x14ac:dyDescent="0.2">
      <c r="M2195" s="29"/>
      <c r="N2195" s="29"/>
      <c r="O2195" s="29"/>
      <c r="P2195" s="29"/>
      <c r="Q2195" s="29"/>
      <c r="R2195" s="29"/>
      <c r="S2195" s="29"/>
    </row>
    <row r="2196" spans="13:19" ht="16.5" customHeight="1" x14ac:dyDescent="0.2">
      <c r="M2196" s="29"/>
      <c r="N2196" s="29"/>
      <c r="O2196" s="29"/>
      <c r="P2196" s="29"/>
      <c r="Q2196" s="29"/>
      <c r="R2196" s="29"/>
      <c r="S2196" s="29"/>
    </row>
    <row r="2197" spans="13:19" ht="16.5" customHeight="1" x14ac:dyDescent="0.2">
      <c r="M2197" s="29"/>
      <c r="N2197" s="29"/>
      <c r="O2197" s="29"/>
      <c r="P2197" s="29"/>
      <c r="Q2197" s="29"/>
      <c r="R2197" s="29"/>
      <c r="S2197" s="29"/>
    </row>
    <row r="2198" spans="13:19" ht="16.5" customHeight="1" x14ac:dyDescent="0.2">
      <c r="M2198" s="29"/>
      <c r="N2198" s="29"/>
      <c r="O2198" s="29"/>
      <c r="P2198" s="29"/>
      <c r="Q2198" s="29"/>
      <c r="R2198" s="29"/>
      <c r="S2198" s="29"/>
    </row>
    <row r="2199" spans="13:19" ht="16.5" customHeight="1" x14ac:dyDescent="0.2">
      <c r="M2199" s="29"/>
      <c r="N2199" s="29"/>
      <c r="O2199" s="29"/>
      <c r="P2199" s="29"/>
      <c r="Q2199" s="29"/>
      <c r="R2199" s="29"/>
      <c r="S2199" s="29"/>
    </row>
    <row r="2200" spans="13:19" ht="16.5" customHeight="1" x14ac:dyDescent="0.2">
      <c r="M2200" s="29"/>
      <c r="N2200" s="29"/>
      <c r="O2200" s="29"/>
      <c r="P2200" s="29"/>
      <c r="Q2200" s="29"/>
      <c r="R2200" s="29"/>
      <c r="S2200" s="29"/>
    </row>
    <row r="2201" spans="13:19" ht="16.5" customHeight="1" x14ac:dyDescent="0.2">
      <c r="M2201" s="29"/>
      <c r="N2201" s="29"/>
      <c r="O2201" s="29"/>
      <c r="P2201" s="29"/>
      <c r="Q2201" s="29"/>
      <c r="R2201" s="29"/>
      <c r="S2201" s="29"/>
    </row>
    <row r="2202" spans="13:19" ht="16.5" customHeight="1" x14ac:dyDescent="0.2">
      <c r="M2202" s="29"/>
      <c r="N2202" s="29"/>
      <c r="O2202" s="29"/>
      <c r="P2202" s="29"/>
      <c r="Q2202" s="29"/>
      <c r="R2202" s="29"/>
      <c r="S2202" s="29"/>
    </row>
    <row r="2203" spans="13:19" ht="16.5" customHeight="1" x14ac:dyDescent="0.2">
      <c r="M2203" s="29"/>
      <c r="N2203" s="29"/>
      <c r="O2203" s="29"/>
      <c r="P2203" s="29"/>
      <c r="Q2203" s="29"/>
      <c r="R2203" s="29"/>
      <c r="S2203" s="29"/>
    </row>
    <row r="2204" spans="13:19" ht="16.5" customHeight="1" x14ac:dyDescent="0.2">
      <c r="M2204" s="29"/>
      <c r="N2204" s="29"/>
      <c r="O2204" s="29"/>
      <c r="P2204" s="29"/>
      <c r="Q2204" s="29"/>
      <c r="R2204" s="29"/>
      <c r="S2204" s="29"/>
    </row>
    <row r="2205" spans="13:19" ht="16.5" customHeight="1" x14ac:dyDescent="0.2">
      <c r="M2205" s="29"/>
      <c r="N2205" s="29"/>
      <c r="O2205" s="29"/>
      <c r="P2205" s="29"/>
      <c r="Q2205" s="29"/>
      <c r="R2205" s="29"/>
      <c r="S2205" s="29"/>
    </row>
    <row r="2206" spans="13:19" ht="16.5" customHeight="1" x14ac:dyDescent="0.2">
      <c r="M2206" s="29"/>
      <c r="N2206" s="29"/>
      <c r="O2206" s="29"/>
      <c r="P2206" s="29"/>
      <c r="Q2206" s="29"/>
      <c r="R2206" s="29"/>
      <c r="S2206" s="29"/>
    </row>
    <row r="2207" spans="13:19" ht="16.5" customHeight="1" x14ac:dyDescent="0.2">
      <c r="M2207" s="29"/>
      <c r="N2207" s="29"/>
      <c r="O2207" s="29"/>
      <c r="P2207" s="29"/>
      <c r="Q2207" s="29"/>
      <c r="R2207" s="29"/>
      <c r="S2207" s="29"/>
    </row>
    <row r="2208" spans="13:19" ht="16.5" customHeight="1" x14ac:dyDescent="0.2">
      <c r="M2208" s="29"/>
      <c r="N2208" s="29"/>
      <c r="O2208" s="29"/>
      <c r="P2208" s="29"/>
      <c r="Q2208" s="29"/>
      <c r="R2208" s="29"/>
      <c r="S2208" s="29"/>
    </row>
    <row r="2209" spans="13:19" ht="16.5" customHeight="1" x14ac:dyDescent="0.2">
      <c r="M2209" s="29"/>
      <c r="N2209" s="29"/>
      <c r="O2209" s="29"/>
      <c r="P2209" s="29"/>
      <c r="Q2209" s="29"/>
      <c r="R2209" s="29"/>
      <c r="S2209" s="29"/>
    </row>
    <row r="2210" spans="13:19" ht="16.5" customHeight="1" x14ac:dyDescent="0.2">
      <c r="M2210" s="29"/>
      <c r="N2210" s="29"/>
      <c r="O2210" s="29"/>
      <c r="P2210" s="29"/>
      <c r="Q2210" s="29"/>
      <c r="R2210" s="29"/>
      <c r="S2210" s="29"/>
    </row>
    <row r="2211" spans="13:19" ht="16.5" customHeight="1" x14ac:dyDescent="0.2">
      <c r="M2211" s="29"/>
      <c r="N2211" s="29"/>
      <c r="O2211" s="29"/>
      <c r="P2211" s="29"/>
      <c r="Q2211" s="29"/>
      <c r="R2211" s="29"/>
      <c r="S2211" s="29"/>
    </row>
    <row r="2212" spans="13:19" ht="16.5" customHeight="1" x14ac:dyDescent="0.2">
      <c r="M2212" s="29"/>
      <c r="N2212" s="29"/>
      <c r="O2212" s="29"/>
      <c r="P2212" s="29"/>
      <c r="Q2212" s="29"/>
      <c r="R2212" s="29"/>
      <c r="S2212" s="29"/>
    </row>
    <row r="2213" spans="13:19" ht="16.5" customHeight="1" x14ac:dyDescent="0.2">
      <c r="M2213" s="29"/>
      <c r="N2213" s="29"/>
      <c r="O2213" s="29"/>
      <c r="P2213" s="29"/>
      <c r="Q2213" s="29"/>
      <c r="R2213" s="29"/>
      <c r="S2213" s="29"/>
    </row>
    <row r="2214" spans="13:19" ht="16.5" customHeight="1" x14ac:dyDescent="0.2">
      <c r="M2214" s="29"/>
      <c r="N2214" s="29"/>
      <c r="O2214" s="29"/>
      <c r="P2214" s="29"/>
      <c r="Q2214" s="29"/>
      <c r="R2214" s="29"/>
      <c r="S2214" s="29"/>
    </row>
    <row r="2215" spans="13:19" ht="16.5" customHeight="1" x14ac:dyDescent="0.2">
      <c r="M2215" s="29"/>
      <c r="N2215" s="29"/>
      <c r="O2215" s="29"/>
      <c r="P2215" s="29"/>
      <c r="Q2215" s="29"/>
      <c r="R2215" s="29"/>
      <c r="S2215" s="29"/>
    </row>
    <row r="2216" spans="13:19" ht="16.5" customHeight="1" x14ac:dyDescent="0.2">
      <c r="M2216" s="29"/>
      <c r="N2216" s="29"/>
      <c r="O2216" s="29"/>
      <c r="P2216" s="29"/>
      <c r="Q2216" s="29"/>
      <c r="R2216" s="29"/>
      <c r="S2216" s="29"/>
    </row>
    <row r="2217" spans="13:19" ht="16.5" customHeight="1" x14ac:dyDescent="0.2">
      <c r="M2217" s="29"/>
      <c r="N2217" s="29"/>
      <c r="O2217" s="29"/>
      <c r="P2217" s="29"/>
      <c r="Q2217" s="29"/>
      <c r="R2217" s="29"/>
      <c r="S2217" s="29"/>
    </row>
    <row r="2218" spans="13:19" ht="16.5" customHeight="1" x14ac:dyDescent="0.2">
      <c r="M2218" s="29"/>
      <c r="N2218" s="29"/>
      <c r="O2218" s="29"/>
      <c r="P2218" s="29"/>
      <c r="Q2218" s="29"/>
      <c r="R2218" s="29"/>
      <c r="S2218" s="29"/>
    </row>
    <row r="2219" spans="13:19" ht="16.5" customHeight="1" x14ac:dyDescent="0.2">
      <c r="M2219" s="29"/>
      <c r="N2219" s="29"/>
      <c r="O2219" s="29"/>
      <c r="P2219" s="29"/>
      <c r="Q2219" s="29"/>
      <c r="R2219" s="29"/>
      <c r="S2219" s="29"/>
    </row>
    <row r="2220" spans="13:19" ht="16.5" customHeight="1" x14ac:dyDescent="0.2">
      <c r="M2220" s="29"/>
      <c r="N2220" s="29"/>
      <c r="O2220" s="29"/>
      <c r="P2220" s="29"/>
      <c r="Q2220" s="29"/>
      <c r="R2220" s="29"/>
      <c r="S2220" s="29"/>
    </row>
    <row r="2221" spans="13:19" ht="16.5" customHeight="1" x14ac:dyDescent="0.2">
      <c r="M2221" s="29"/>
      <c r="N2221" s="29"/>
      <c r="O2221" s="29"/>
      <c r="P2221" s="29"/>
      <c r="Q2221" s="29"/>
      <c r="R2221" s="29"/>
      <c r="S2221" s="29"/>
    </row>
    <row r="2222" spans="13:19" ht="16.5" customHeight="1" x14ac:dyDescent="0.2">
      <c r="M2222" s="29"/>
      <c r="N2222" s="29"/>
      <c r="O2222" s="29"/>
      <c r="P2222" s="29"/>
      <c r="Q2222" s="29"/>
      <c r="R2222" s="29"/>
      <c r="S2222" s="29"/>
    </row>
    <row r="2223" spans="13:19" ht="16.5" customHeight="1" x14ac:dyDescent="0.2">
      <c r="M2223" s="29"/>
      <c r="N2223" s="29"/>
      <c r="O2223" s="29"/>
      <c r="P2223" s="29"/>
      <c r="Q2223" s="29"/>
      <c r="R2223" s="29"/>
      <c r="S2223" s="29"/>
    </row>
    <row r="2224" spans="13:19" ht="16.5" customHeight="1" x14ac:dyDescent="0.2">
      <c r="M2224" s="29"/>
      <c r="N2224" s="29"/>
      <c r="O2224" s="29"/>
      <c r="P2224" s="29"/>
      <c r="Q2224" s="29"/>
      <c r="R2224" s="29"/>
      <c r="S2224" s="29"/>
    </row>
    <row r="2225" spans="13:19" ht="16.5" customHeight="1" x14ac:dyDescent="0.2">
      <c r="M2225" s="29"/>
      <c r="N2225" s="29"/>
      <c r="O2225" s="29"/>
      <c r="P2225" s="29"/>
      <c r="Q2225" s="29"/>
      <c r="R2225" s="29"/>
      <c r="S2225" s="29"/>
    </row>
    <row r="2226" spans="13:19" ht="16.5" customHeight="1" x14ac:dyDescent="0.2">
      <c r="M2226" s="29"/>
      <c r="N2226" s="29"/>
      <c r="O2226" s="29"/>
      <c r="P2226" s="29"/>
      <c r="Q2226" s="29"/>
      <c r="R2226" s="29"/>
      <c r="S2226" s="29"/>
    </row>
    <row r="2227" spans="13:19" ht="16.5" customHeight="1" x14ac:dyDescent="0.2">
      <c r="M2227" s="29"/>
      <c r="N2227" s="29"/>
      <c r="O2227" s="29"/>
      <c r="P2227" s="29"/>
      <c r="Q2227" s="29"/>
      <c r="R2227" s="29"/>
      <c r="S2227" s="29"/>
    </row>
    <row r="2228" spans="13:19" ht="16.5" customHeight="1" x14ac:dyDescent="0.2">
      <c r="M2228" s="29"/>
      <c r="N2228" s="29"/>
      <c r="O2228" s="29"/>
      <c r="P2228" s="29"/>
      <c r="Q2228" s="29"/>
      <c r="R2228" s="29"/>
      <c r="S2228" s="29"/>
    </row>
    <row r="2229" spans="13:19" ht="16.5" customHeight="1" x14ac:dyDescent="0.2">
      <c r="M2229" s="29"/>
      <c r="N2229" s="29"/>
      <c r="O2229" s="29"/>
      <c r="P2229" s="29"/>
      <c r="Q2229" s="29"/>
      <c r="R2229" s="29"/>
      <c r="S2229" s="29"/>
    </row>
    <row r="2230" spans="13:19" ht="16.5" customHeight="1" x14ac:dyDescent="0.2">
      <c r="M2230" s="29"/>
      <c r="N2230" s="29"/>
      <c r="O2230" s="29"/>
      <c r="P2230" s="29"/>
      <c r="Q2230" s="29"/>
      <c r="R2230" s="29"/>
      <c r="S2230" s="29"/>
    </row>
    <row r="2231" spans="13:19" ht="16.5" customHeight="1" x14ac:dyDescent="0.2">
      <c r="M2231" s="29"/>
      <c r="N2231" s="29"/>
      <c r="O2231" s="29"/>
      <c r="P2231" s="29"/>
      <c r="Q2231" s="29"/>
      <c r="R2231" s="29"/>
      <c r="S2231" s="29"/>
    </row>
    <row r="2232" spans="13:19" ht="16.5" customHeight="1" x14ac:dyDescent="0.2">
      <c r="M2232" s="29"/>
      <c r="N2232" s="29"/>
      <c r="O2232" s="29"/>
      <c r="P2232" s="29"/>
      <c r="Q2232" s="29"/>
      <c r="R2232" s="29"/>
      <c r="S2232" s="29"/>
    </row>
    <row r="2233" spans="13:19" ht="16.5" customHeight="1" x14ac:dyDescent="0.2">
      <c r="M2233" s="29"/>
      <c r="N2233" s="29"/>
      <c r="O2233" s="29"/>
      <c r="P2233" s="29"/>
      <c r="Q2233" s="29"/>
      <c r="R2233" s="29"/>
      <c r="S2233" s="29"/>
    </row>
    <row r="2234" spans="13:19" ht="16.5" customHeight="1" x14ac:dyDescent="0.2">
      <c r="M2234" s="29"/>
      <c r="N2234" s="29"/>
      <c r="O2234" s="29"/>
      <c r="P2234" s="29"/>
      <c r="Q2234" s="29"/>
      <c r="R2234" s="29"/>
      <c r="S2234" s="29"/>
    </row>
    <row r="2235" spans="13:19" ht="16.5" customHeight="1" x14ac:dyDescent="0.2">
      <c r="M2235" s="29"/>
      <c r="N2235" s="29"/>
      <c r="O2235" s="29"/>
      <c r="P2235" s="29"/>
      <c r="Q2235" s="29"/>
      <c r="R2235" s="29"/>
      <c r="S2235" s="29"/>
    </row>
    <row r="2236" spans="13:19" ht="16.5" customHeight="1" x14ac:dyDescent="0.2">
      <c r="M2236" s="29"/>
      <c r="N2236" s="29"/>
      <c r="O2236" s="29"/>
      <c r="P2236" s="29"/>
      <c r="Q2236" s="29"/>
      <c r="R2236" s="29"/>
      <c r="S2236" s="29"/>
    </row>
    <row r="2237" spans="13:19" ht="16.5" customHeight="1" x14ac:dyDescent="0.2">
      <c r="M2237" s="29"/>
      <c r="N2237" s="29"/>
      <c r="O2237" s="29"/>
      <c r="P2237" s="29"/>
      <c r="Q2237" s="29"/>
      <c r="R2237" s="29"/>
      <c r="S2237" s="29"/>
    </row>
    <row r="2238" spans="13:19" ht="16.5" customHeight="1" x14ac:dyDescent="0.2">
      <c r="M2238" s="29"/>
      <c r="N2238" s="29"/>
      <c r="O2238" s="29"/>
      <c r="P2238" s="29"/>
      <c r="Q2238" s="29"/>
      <c r="R2238" s="29"/>
      <c r="S2238" s="29"/>
    </row>
    <row r="2239" spans="13:19" ht="16.5" customHeight="1" x14ac:dyDescent="0.2">
      <c r="M2239" s="29"/>
      <c r="N2239" s="29"/>
      <c r="O2239" s="29"/>
      <c r="P2239" s="29"/>
      <c r="Q2239" s="29"/>
      <c r="R2239" s="29"/>
      <c r="S2239" s="29"/>
    </row>
    <row r="2240" spans="13:19" ht="16.5" customHeight="1" x14ac:dyDescent="0.2">
      <c r="M2240" s="29"/>
      <c r="N2240" s="29"/>
      <c r="O2240" s="29"/>
      <c r="P2240" s="29"/>
      <c r="Q2240" s="29"/>
      <c r="R2240" s="29"/>
      <c r="S2240" s="29"/>
    </row>
    <row r="2241" spans="13:19" ht="16.5" customHeight="1" x14ac:dyDescent="0.2">
      <c r="M2241" s="29"/>
      <c r="N2241" s="29"/>
      <c r="O2241" s="29"/>
      <c r="P2241" s="29"/>
      <c r="Q2241" s="29"/>
      <c r="R2241" s="29"/>
      <c r="S2241" s="29"/>
    </row>
    <row r="2242" spans="13:19" ht="16.5" customHeight="1" x14ac:dyDescent="0.2">
      <c r="M2242" s="29"/>
      <c r="N2242" s="29"/>
      <c r="O2242" s="29"/>
      <c r="P2242" s="29"/>
      <c r="Q2242" s="29"/>
      <c r="R2242" s="29"/>
      <c r="S2242" s="29"/>
    </row>
    <row r="2243" spans="13:19" ht="16.5" customHeight="1" x14ac:dyDescent="0.2">
      <c r="M2243" s="29"/>
      <c r="N2243" s="29"/>
      <c r="O2243" s="29"/>
      <c r="P2243" s="29"/>
      <c r="Q2243" s="29"/>
      <c r="R2243" s="29"/>
      <c r="S2243" s="29"/>
    </row>
    <row r="2244" spans="13:19" ht="16.5" customHeight="1" x14ac:dyDescent="0.2">
      <c r="M2244" s="29"/>
      <c r="N2244" s="29"/>
      <c r="O2244" s="29"/>
      <c r="P2244" s="29"/>
      <c r="Q2244" s="29"/>
      <c r="R2244" s="29"/>
      <c r="S2244" s="29"/>
    </row>
    <row r="2245" spans="13:19" ht="16.5" customHeight="1" x14ac:dyDescent="0.2">
      <c r="M2245" s="29"/>
      <c r="N2245" s="29"/>
      <c r="O2245" s="29"/>
      <c r="P2245" s="29"/>
      <c r="Q2245" s="29"/>
      <c r="R2245" s="29"/>
      <c r="S2245" s="29"/>
    </row>
    <row r="2246" spans="13:19" ht="16.5" customHeight="1" x14ac:dyDescent="0.2">
      <c r="M2246" s="29"/>
      <c r="N2246" s="29"/>
      <c r="O2246" s="29"/>
      <c r="P2246" s="29"/>
      <c r="Q2246" s="29"/>
      <c r="R2246" s="29"/>
      <c r="S2246" s="29"/>
    </row>
    <row r="2247" spans="13:19" ht="16.5" customHeight="1" x14ac:dyDescent="0.2">
      <c r="M2247" s="29"/>
      <c r="N2247" s="29"/>
      <c r="O2247" s="29"/>
      <c r="P2247" s="29"/>
      <c r="Q2247" s="29"/>
      <c r="R2247" s="29"/>
      <c r="S2247" s="29"/>
    </row>
    <row r="2248" spans="13:19" ht="16.5" customHeight="1" x14ac:dyDescent="0.2">
      <c r="M2248" s="29"/>
      <c r="N2248" s="29"/>
      <c r="O2248" s="29"/>
      <c r="P2248" s="29"/>
      <c r="Q2248" s="29"/>
      <c r="R2248" s="29"/>
      <c r="S2248" s="29"/>
    </row>
    <row r="2249" spans="13:19" ht="16.5" customHeight="1" x14ac:dyDescent="0.2">
      <c r="M2249" s="29"/>
      <c r="N2249" s="29"/>
      <c r="O2249" s="29"/>
      <c r="P2249" s="29"/>
      <c r="Q2249" s="29"/>
      <c r="R2249" s="29"/>
      <c r="S2249" s="29"/>
    </row>
    <row r="2250" spans="13:19" ht="16.5" customHeight="1" x14ac:dyDescent="0.2">
      <c r="M2250" s="29"/>
      <c r="N2250" s="29"/>
      <c r="O2250" s="29"/>
      <c r="P2250" s="29"/>
      <c r="Q2250" s="29"/>
      <c r="R2250" s="29"/>
      <c r="S2250" s="29"/>
    </row>
    <row r="2251" spans="13:19" ht="16.5" customHeight="1" x14ac:dyDescent="0.2">
      <c r="M2251" s="29"/>
      <c r="N2251" s="29"/>
      <c r="O2251" s="29"/>
      <c r="P2251" s="29"/>
      <c r="Q2251" s="29"/>
      <c r="R2251" s="29"/>
      <c r="S2251" s="29"/>
    </row>
    <row r="2252" spans="13:19" ht="16.5" customHeight="1" x14ac:dyDescent="0.2">
      <c r="M2252" s="29"/>
      <c r="N2252" s="29"/>
      <c r="O2252" s="29"/>
      <c r="P2252" s="29"/>
      <c r="Q2252" s="29"/>
      <c r="R2252" s="29"/>
      <c r="S2252" s="29"/>
    </row>
    <row r="2253" spans="13:19" ht="16.5" customHeight="1" x14ac:dyDescent="0.2">
      <c r="M2253" s="29"/>
      <c r="N2253" s="29"/>
      <c r="O2253" s="29"/>
      <c r="P2253" s="29"/>
      <c r="Q2253" s="29"/>
      <c r="R2253" s="29"/>
      <c r="S2253" s="29"/>
    </row>
    <row r="2254" spans="13:19" ht="16.5" customHeight="1" x14ac:dyDescent="0.2">
      <c r="M2254" s="29"/>
      <c r="N2254" s="29"/>
      <c r="O2254" s="29"/>
      <c r="P2254" s="29"/>
      <c r="Q2254" s="29"/>
      <c r="R2254" s="29"/>
      <c r="S2254" s="29"/>
    </row>
    <row r="2255" spans="13:19" ht="16.5" customHeight="1" x14ac:dyDescent="0.2">
      <c r="M2255" s="29"/>
      <c r="N2255" s="29"/>
      <c r="O2255" s="29"/>
      <c r="P2255" s="29"/>
      <c r="Q2255" s="29"/>
      <c r="R2255" s="29"/>
      <c r="S2255" s="29"/>
    </row>
    <row r="2256" spans="13:19" ht="16.5" customHeight="1" x14ac:dyDescent="0.2">
      <c r="M2256" s="29"/>
      <c r="N2256" s="29"/>
      <c r="O2256" s="29"/>
      <c r="P2256" s="29"/>
      <c r="Q2256" s="29"/>
      <c r="R2256" s="29"/>
      <c r="S2256" s="29"/>
    </row>
    <row r="2257" spans="13:19" ht="16.5" customHeight="1" x14ac:dyDescent="0.2">
      <c r="M2257" s="29"/>
      <c r="N2257" s="29"/>
      <c r="O2257" s="29"/>
      <c r="P2257" s="29"/>
      <c r="Q2257" s="29"/>
      <c r="R2257" s="29"/>
      <c r="S2257" s="29"/>
    </row>
    <row r="2258" spans="13:19" ht="16.5" customHeight="1" x14ac:dyDescent="0.2">
      <c r="M2258" s="29"/>
      <c r="N2258" s="29"/>
      <c r="O2258" s="29"/>
      <c r="P2258" s="29"/>
      <c r="Q2258" s="29"/>
      <c r="R2258" s="29"/>
      <c r="S2258" s="29"/>
    </row>
    <row r="2259" spans="13:19" ht="16.5" customHeight="1" x14ac:dyDescent="0.2">
      <c r="M2259" s="29"/>
      <c r="N2259" s="29"/>
      <c r="O2259" s="29"/>
      <c r="P2259" s="29"/>
      <c r="Q2259" s="29"/>
      <c r="R2259" s="29"/>
      <c r="S2259" s="29"/>
    </row>
    <row r="2260" spans="13:19" ht="16.5" customHeight="1" x14ac:dyDescent="0.2">
      <c r="M2260" s="29"/>
      <c r="N2260" s="29"/>
      <c r="O2260" s="29"/>
      <c r="P2260" s="29"/>
      <c r="Q2260" s="29"/>
      <c r="R2260" s="29"/>
      <c r="S2260" s="29"/>
    </row>
    <row r="2261" spans="13:19" ht="16.5" customHeight="1" x14ac:dyDescent="0.2">
      <c r="M2261" s="29"/>
      <c r="N2261" s="29"/>
      <c r="O2261" s="29"/>
      <c r="P2261" s="29"/>
      <c r="Q2261" s="29"/>
      <c r="R2261" s="29"/>
      <c r="S2261" s="29"/>
    </row>
    <row r="2262" spans="13:19" ht="16.5" customHeight="1" x14ac:dyDescent="0.2">
      <c r="M2262" s="29"/>
      <c r="N2262" s="29"/>
      <c r="O2262" s="29"/>
      <c r="P2262" s="29"/>
      <c r="Q2262" s="29"/>
      <c r="R2262" s="29"/>
      <c r="S2262" s="29"/>
    </row>
    <row r="2263" spans="13:19" ht="16.5" customHeight="1" x14ac:dyDescent="0.2">
      <c r="M2263" s="29"/>
      <c r="N2263" s="29"/>
      <c r="O2263" s="29"/>
      <c r="P2263" s="29"/>
      <c r="Q2263" s="29"/>
      <c r="R2263" s="29"/>
      <c r="S2263" s="29"/>
    </row>
    <row r="2264" spans="13:19" ht="16.5" customHeight="1" x14ac:dyDescent="0.2">
      <c r="M2264" s="29"/>
      <c r="N2264" s="29"/>
      <c r="O2264" s="29"/>
      <c r="P2264" s="29"/>
      <c r="Q2264" s="29"/>
      <c r="R2264" s="29"/>
      <c r="S2264" s="29"/>
    </row>
    <row r="2265" spans="13:19" ht="16.5" customHeight="1" x14ac:dyDescent="0.2">
      <c r="M2265" s="29"/>
      <c r="N2265" s="29"/>
      <c r="O2265" s="29"/>
      <c r="P2265" s="29"/>
      <c r="Q2265" s="29"/>
      <c r="R2265" s="29"/>
      <c r="S2265" s="29"/>
    </row>
    <row r="2266" spans="13:19" ht="16.5" customHeight="1" x14ac:dyDescent="0.2">
      <c r="M2266" s="29"/>
      <c r="N2266" s="29"/>
      <c r="O2266" s="29"/>
      <c r="P2266" s="29"/>
      <c r="Q2266" s="29"/>
      <c r="R2266" s="29"/>
      <c r="S2266" s="29"/>
    </row>
    <row r="2267" spans="13:19" ht="16.5" customHeight="1" x14ac:dyDescent="0.2">
      <c r="M2267" s="29"/>
      <c r="N2267" s="29"/>
      <c r="O2267" s="29"/>
      <c r="P2267" s="29"/>
      <c r="Q2267" s="29"/>
      <c r="R2267" s="29"/>
      <c r="S2267" s="29"/>
    </row>
    <row r="2268" spans="13:19" ht="16.5" customHeight="1" x14ac:dyDescent="0.2">
      <c r="M2268" s="29"/>
      <c r="N2268" s="29"/>
      <c r="O2268" s="29"/>
      <c r="P2268" s="29"/>
      <c r="Q2268" s="29"/>
      <c r="R2268" s="29"/>
      <c r="S2268" s="29"/>
    </row>
    <row r="2269" spans="13:19" ht="16.5" customHeight="1" x14ac:dyDescent="0.2">
      <c r="M2269" s="29"/>
      <c r="N2269" s="29"/>
      <c r="O2269" s="29"/>
      <c r="P2269" s="29"/>
      <c r="Q2269" s="29"/>
      <c r="R2269" s="29"/>
      <c r="S2269" s="29"/>
    </row>
    <row r="2270" spans="13:19" ht="16.5" customHeight="1" x14ac:dyDescent="0.2">
      <c r="M2270" s="29"/>
      <c r="N2270" s="29"/>
      <c r="O2270" s="29"/>
      <c r="P2270" s="29"/>
      <c r="Q2270" s="29"/>
      <c r="R2270" s="29"/>
      <c r="S2270" s="29"/>
    </row>
    <row r="2271" spans="13:19" ht="16.5" customHeight="1" x14ac:dyDescent="0.2">
      <c r="M2271" s="29"/>
      <c r="N2271" s="29"/>
      <c r="O2271" s="29"/>
      <c r="P2271" s="29"/>
      <c r="Q2271" s="29"/>
      <c r="R2271" s="29"/>
      <c r="S2271" s="29"/>
    </row>
    <row r="2272" spans="13:19" ht="16.5" customHeight="1" x14ac:dyDescent="0.2">
      <c r="M2272" s="29"/>
      <c r="N2272" s="29"/>
      <c r="O2272" s="29"/>
      <c r="P2272" s="29"/>
      <c r="Q2272" s="29"/>
      <c r="R2272" s="29"/>
      <c r="S2272" s="29"/>
    </row>
    <row r="2273" spans="13:19" ht="16.5" customHeight="1" x14ac:dyDescent="0.2">
      <c r="M2273" s="29"/>
      <c r="N2273" s="29"/>
      <c r="O2273" s="29"/>
      <c r="P2273" s="29"/>
      <c r="Q2273" s="29"/>
      <c r="R2273" s="29"/>
      <c r="S2273" s="29"/>
    </row>
    <row r="2274" spans="13:19" ht="16.5" customHeight="1" x14ac:dyDescent="0.2">
      <c r="M2274" s="29"/>
      <c r="N2274" s="29"/>
      <c r="O2274" s="29"/>
      <c r="P2274" s="29"/>
      <c r="Q2274" s="29"/>
      <c r="R2274" s="29"/>
      <c r="S2274" s="29"/>
    </row>
    <row r="2275" spans="13:19" ht="16.5" customHeight="1" x14ac:dyDescent="0.2">
      <c r="M2275" s="29"/>
      <c r="N2275" s="29"/>
      <c r="O2275" s="29"/>
      <c r="P2275" s="29"/>
      <c r="Q2275" s="29"/>
      <c r="R2275" s="29"/>
      <c r="S2275" s="29"/>
    </row>
    <row r="2276" spans="13:19" ht="16.5" customHeight="1" x14ac:dyDescent="0.2">
      <c r="M2276" s="29"/>
      <c r="N2276" s="29"/>
      <c r="O2276" s="29"/>
      <c r="P2276" s="29"/>
      <c r="Q2276" s="29"/>
      <c r="R2276" s="29"/>
      <c r="S2276" s="29"/>
    </row>
    <row r="2277" spans="13:19" ht="16.5" customHeight="1" x14ac:dyDescent="0.2">
      <c r="M2277" s="29"/>
      <c r="N2277" s="29"/>
      <c r="O2277" s="29"/>
      <c r="P2277" s="29"/>
      <c r="Q2277" s="29"/>
      <c r="R2277" s="29"/>
      <c r="S2277" s="29"/>
    </row>
    <row r="2278" spans="13:19" ht="16.5" customHeight="1" x14ac:dyDescent="0.2">
      <c r="M2278" s="29"/>
      <c r="N2278" s="29"/>
      <c r="O2278" s="29"/>
      <c r="P2278" s="29"/>
      <c r="Q2278" s="29"/>
      <c r="R2278" s="29"/>
      <c r="S2278" s="29"/>
    </row>
    <row r="2279" spans="13:19" ht="16.5" customHeight="1" x14ac:dyDescent="0.2">
      <c r="M2279" s="29"/>
      <c r="N2279" s="29"/>
      <c r="O2279" s="29"/>
      <c r="P2279" s="29"/>
      <c r="Q2279" s="29"/>
      <c r="R2279" s="29"/>
      <c r="S2279" s="29"/>
    </row>
    <row r="2280" spans="13:19" ht="16.5" customHeight="1" x14ac:dyDescent="0.2">
      <c r="M2280" s="29"/>
      <c r="N2280" s="29"/>
      <c r="O2280" s="29"/>
      <c r="P2280" s="29"/>
      <c r="Q2280" s="29"/>
      <c r="R2280" s="29"/>
      <c r="S2280" s="29"/>
    </row>
    <row r="2281" spans="13:19" ht="16.5" customHeight="1" x14ac:dyDescent="0.2">
      <c r="M2281" s="29"/>
      <c r="N2281" s="29"/>
      <c r="O2281" s="29"/>
      <c r="P2281" s="29"/>
      <c r="Q2281" s="29"/>
      <c r="R2281" s="29"/>
      <c r="S2281" s="29"/>
    </row>
    <row r="2282" spans="13:19" ht="16.5" customHeight="1" x14ac:dyDescent="0.2">
      <c r="M2282" s="29"/>
      <c r="N2282" s="29"/>
      <c r="O2282" s="29"/>
      <c r="P2282" s="29"/>
      <c r="Q2282" s="29"/>
      <c r="R2282" s="29"/>
      <c r="S2282" s="29"/>
    </row>
    <row r="2283" spans="13:19" ht="16.5" customHeight="1" x14ac:dyDescent="0.2">
      <c r="M2283" s="29"/>
      <c r="N2283" s="29"/>
      <c r="O2283" s="29"/>
      <c r="P2283" s="29"/>
      <c r="Q2283" s="29"/>
      <c r="R2283" s="29"/>
      <c r="S2283" s="29"/>
    </row>
    <row r="2284" spans="13:19" ht="16.5" customHeight="1" x14ac:dyDescent="0.2">
      <c r="M2284" s="29"/>
      <c r="N2284" s="29"/>
      <c r="O2284" s="29"/>
      <c r="P2284" s="29"/>
      <c r="Q2284" s="29"/>
      <c r="R2284" s="29"/>
      <c r="S2284" s="29"/>
    </row>
    <row r="2285" spans="13:19" ht="16.5" customHeight="1" x14ac:dyDescent="0.2">
      <c r="M2285" s="29"/>
      <c r="N2285" s="29"/>
      <c r="O2285" s="29"/>
      <c r="P2285" s="29"/>
      <c r="Q2285" s="29"/>
      <c r="R2285" s="29"/>
      <c r="S2285" s="29"/>
    </row>
    <row r="2286" spans="13:19" ht="16.5" customHeight="1" x14ac:dyDescent="0.2">
      <c r="M2286" s="29"/>
      <c r="N2286" s="29"/>
      <c r="O2286" s="29"/>
      <c r="P2286" s="29"/>
      <c r="Q2286" s="29"/>
      <c r="R2286" s="29"/>
      <c r="S2286" s="29"/>
    </row>
    <row r="2287" spans="13:19" ht="16.5" customHeight="1" x14ac:dyDescent="0.2">
      <c r="M2287" s="29"/>
      <c r="N2287" s="29"/>
      <c r="O2287" s="29"/>
      <c r="P2287" s="29"/>
      <c r="Q2287" s="29"/>
      <c r="R2287" s="29"/>
      <c r="S2287" s="29"/>
    </row>
    <row r="2288" spans="13:19" ht="16.5" customHeight="1" x14ac:dyDescent="0.2">
      <c r="M2288" s="29"/>
      <c r="N2288" s="29"/>
      <c r="O2288" s="29"/>
      <c r="P2288" s="29"/>
      <c r="Q2288" s="29"/>
      <c r="R2288" s="29"/>
      <c r="S2288" s="29"/>
    </row>
    <row r="2289" spans="13:19" ht="16.5" customHeight="1" x14ac:dyDescent="0.2">
      <c r="M2289" s="29"/>
      <c r="N2289" s="29"/>
      <c r="O2289" s="29"/>
      <c r="P2289" s="29"/>
      <c r="Q2289" s="29"/>
      <c r="R2289" s="29"/>
      <c r="S2289" s="29"/>
    </row>
    <row r="2290" spans="13:19" ht="16.5" customHeight="1" x14ac:dyDescent="0.2">
      <c r="M2290" s="29"/>
      <c r="N2290" s="29"/>
      <c r="O2290" s="29"/>
      <c r="P2290" s="29"/>
      <c r="Q2290" s="29"/>
      <c r="R2290" s="29"/>
      <c r="S2290" s="29"/>
    </row>
    <row r="2291" spans="13:19" ht="16.5" customHeight="1" x14ac:dyDescent="0.2">
      <c r="M2291" s="29"/>
      <c r="N2291" s="29"/>
      <c r="O2291" s="29"/>
      <c r="P2291" s="29"/>
      <c r="Q2291" s="29"/>
      <c r="R2291" s="29"/>
      <c r="S2291" s="29"/>
    </row>
    <row r="2292" spans="13:19" ht="16.5" customHeight="1" x14ac:dyDescent="0.2">
      <c r="M2292" s="29"/>
      <c r="N2292" s="29"/>
      <c r="O2292" s="29"/>
      <c r="P2292" s="29"/>
      <c r="Q2292" s="29"/>
      <c r="R2292" s="29"/>
      <c r="S2292" s="29"/>
    </row>
    <row r="2293" spans="13:19" ht="16.5" customHeight="1" x14ac:dyDescent="0.2">
      <c r="M2293" s="29"/>
      <c r="N2293" s="29"/>
      <c r="O2293" s="29"/>
      <c r="P2293" s="29"/>
      <c r="Q2293" s="29"/>
      <c r="R2293" s="29"/>
      <c r="S2293" s="29"/>
    </row>
    <row r="2294" spans="13:19" ht="16.5" customHeight="1" x14ac:dyDescent="0.2">
      <c r="M2294" s="29"/>
      <c r="N2294" s="29"/>
      <c r="O2294" s="29"/>
      <c r="P2294" s="29"/>
      <c r="Q2294" s="29"/>
      <c r="R2294" s="29"/>
      <c r="S2294" s="29"/>
    </row>
    <row r="2295" spans="13:19" ht="16.5" customHeight="1" x14ac:dyDescent="0.2">
      <c r="M2295" s="29"/>
      <c r="N2295" s="29"/>
      <c r="O2295" s="29"/>
      <c r="P2295" s="29"/>
      <c r="Q2295" s="29"/>
      <c r="R2295" s="29"/>
      <c r="S2295" s="29"/>
    </row>
    <row r="2296" spans="13:19" ht="16.5" customHeight="1" x14ac:dyDescent="0.2">
      <c r="M2296" s="29"/>
      <c r="N2296" s="29"/>
      <c r="O2296" s="29"/>
      <c r="P2296" s="29"/>
      <c r="Q2296" s="29"/>
      <c r="R2296" s="29"/>
      <c r="S2296" s="29"/>
    </row>
    <row r="2297" spans="13:19" ht="16.5" customHeight="1" x14ac:dyDescent="0.2">
      <c r="M2297" s="29"/>
      <c r="N2297" s="29"/>
      <c r="O2297" s="29"/>
      <c r="P2297" s="29"/>
      <c r="Q2297" s="29"/>
      <c r="R2297" s="29"/>
      <c r="S2297" s="29"/>
    </row>
    <row r="2298" spans="13:19" ht="16.5" customHeight="1" x14ac:dyDescent="0.2">
      <c r="M2298" s="29"/>
      <c r="N2298" s="29"/>
      <c r="O2298" s="29"/>
      <c r="P2298" s="29"/>
      <c r="Q2298" s="29"/>
      <c r="R2298" s="29"/>
      <c r="S2298" s="29"/>
    </row>
    <row r="2299" spans="13:19" ht="16.5" customHeight="1" x14ac:dyDescent="0.2">
      <c r="M2299" s="29"/>
      <c r="N2299" s="29"/>
      <c r="O2299" s="29"/>
      <c r="P2299" s="29"/>
      <c r="Q2299" s="29"/>
      <c r="R2299" s="29"/>
      <c r="S2299" s="29"/>
    </row>
    <row r="2300" spans="13:19" ht="16.5" customHeight="1" x14ac:dyDescent="0.2">
      <c r="M2300" s="29"/>
      <c r="N2300" s="29"/>
      <c r="O2300" s="29"/>
      <c r="P2300" s="29"/>
      <c r="Q2300" s="29"/>
      <c r="R2300" s="29"/>
      <c r="S2300" s="29"/>
    </row>
    <row r="2301" spans="13:19" ht="16.5" customHeight="1" x14ac:dyDescent="0.2">
      <c r="M2301" s="29"/>
      <c r="N2301" s="29"/>
      <c r="O2301" s="29"/>
      <c r="P2301" s="29"/>
      <c r="Q2301" s="29"/>
      <c r="R2301" s="29"/>
      <c r="S2301" s="29"/>
    </row>
    <row r="2302" spans="13:19" ht="16.5" customHeight="1" x14ac:dyDescent="0.2">
      <c r="M2302" s="29"/>
      <c r="N2302" s="29"/>
      <c r="O2302" s="29"/>
      <c r="P2302" s="29"/>
      <c r="Q2302" s="29"/>
      <c r="R2302" s="29"/>
      <c r="S2302" s="29"/>
    </row>
    <row r="2303" spans="13:19" ht="16.5" customHeight="1" x14ac:dyDescent="0.2">
      <c r="M2303" s="29"/>
      <c r="N2303" s="29"/>
      <c r="O2303" s="29"/>
      <c r="P2303" s="29"/>
      <c r="Q2303" s="29"/>
      <c r="R2303" s="29"/>
      <c r="S2303" s="29"/>
    </row>
    <row r="2304" spans="13:19" ht="16.5" customHeight="1" x14ac:dyDescent="0.2">
      <c r="M2304" s="29"/>
      <c r="N2304" s="29"/>
      <c r="O2304" s="29"/>
      <c r="P2304" s="29"/>
      <c r="Q2304" s="29"/>
      <c r="R2304" s="29"/>
      <c r="S2304" s="29"/>
    </row>
    <row r="2305" spans="13:19" ht="16.5" customHeight="1" x14ac:dyDescent="0.2">
      <c r="M2305" s="29"/>
      <c r="N2305" s="29"/>
      <c r="O2305" s="29"/>
      <c r="P2305" s="29"/>
      <c r="Q2305" s="29"/>
      <c r="R2305" s="29"/>
      <c r="S2305" s="29"/>
    </row>
    <row r="2306" spans="13:19" ht="16.5" customHeight="1" x14ac:dyDescent="0.2">
      <c r="M2306" s="29"/>
      <c r="N2306" s="29"/>
      <c r="O2306" s="29"/>
      <c r="P2306" s="29"/>
      <c r="Q2306" s="29"/>
      <c r="R2306" s="29"/>
      <c r="S2306" s="29"/>
    </row>
    <row r="2307" spans="13:19" ht="16.5" customHeight="1" x14ac:dyDescent="0.2">
      <c r="M2307" s="29"/>
      <c r="N2307" s="29"/>
      <c r="O2307" s="29"/>
      <c r="P2307" s="29"/>
      <c r="Q2307" s="29"/>
      <c r="R2307" s="29"/>
      <c r="S2307" s="29"/>
    </row>
    <row r="2308" spans="13:19" ht="16.5" customHeight="1" x14ac:dyDescent="0.2">
      <c r="M2308" s="29"/>
      <c r="N2308" s="29"/>
      <c r="O2308" s="29"/>
      <c r="P2308" s="29"/>
      <c r="Q2308" s="29"/>
      <c r="R2308" s="29"/>
      <c r="S2308" s="29"/>
    </row>
    <row r="2309" spans="13:19" ht="16.5" customHeight="1" x14ac:dyDescent="0.2">
      <c r="M2309" s="29"/>
      <c r="N2309" s="29"/>
      <c r="O2309" s="29"/>
      <c r="P2309" s="29"/>
      <c r="Q2309" s="29"/>
      <c r="R2309" s="29"/>
      <c r="S2309" s="29"/>
    </row>
    <row r="2310" spans="13:19" ht="16.5" customHeight="1" x14ac:dyDescent="0.2">
      <c r="M2310" s="29"/>
      <c r="N2310" s="29"/>
      <c r="O2310" s="29"/>
      <c r="P2310" s="29"/>
      <c r="Q2310" s="29"/>
      <c r="R2310" s="29"/>
      <c r="S2310" s="29"/>
    </row>
    <row r="2311" spans="13:19" ht="16.5" customHeight="1" x14ac:dyDescent="0.2">
      <c r="M2311" s="29"/>
      <c r="N2311" s="29"/>
      <c r="O2311" s="29"/>
      <c r="P2311" s="29"/>
      <c r="Q2311" s="29"/>
      <c r="R2311" s="29"/>
      <c r="S2311" s="29"/>
    </row>
    <row r="2312" spans="13:19" ht="16.5" customHeight="1" x14ac:dyDescent="0.2">
      <c r="M2312" s="29"/>
      <c r="N2312" s="29"/>
      <c r="O2312" s="29"/>
      <c r="P2312" s="29"/>
      <c r="Q2312" s="29"/>
      <c r="R2312" s="29"/>
      <c r="S2312" s="29"/>
    </row>
    <row r="2313" spans="13:19" ht="16.5" customHeight="1" x14ac:dyDescent="0.2">
      <c r="M2313" s="29"/>
      <c r="N2313" s="29"/>
      <c r="O2313" s="29"/>
      <c r="P2313" s="29"/>
      <c r="Q2313" s="29"/>
      <c r="R2313" s="29"/>
      <c r="S2313" s="29"/>
    </row>
    <row r="2314" spans="13:19" ht="16.5" customHeight="1" x14ac:dyDescent="0.2">
      <c r="M2314" s="29"/>
      <c r="N2314" s="29"/>
      <c r="O2314" s="29"/>
      <c r="P2314" s="29"/>
      <c r="Q2314" s="29"/>
      <c r="R2314" s="29"/>
      <c r="S2314" s="29"/>
    </row>
    <row r="2315" spans="13:19" ht="16.5" customHeight="1" x14ac:dyDescent="0.2">
      <c r="M2315" s="29"/>
      <c r="N2315" s="29"/>
      <c r="O2315" s="29"/>
      <c r="P2315" s="29"/>
      <c r="Q2315" s="29"/>
      <c r="R2315" s="29"/>
      <c r="S2315" s="29"/>
    </row>
    <row r="2316" spans="13:19" ht="16.5" customHeight="1" x14ac:dyDescent="0.2">
      <c r="M2316" s="29"/>
      <c r="N2316" s="29"/>
      <c r="O2316" s="29"/>
      <c r="P2316" s="29"/>
      <c r="Q2316" s="29"/>
      <c r="R2316" s="29"/>
      <c r="S2316" s="29"/>
    </row>
    <row r="2317" spans="13:19" ht="16.5" customHeight="1" x14ac:dyDescent="0.2">
      <c r="M2317" s="29"/>
      <c r="N2317" s="29"/>
      <c r="O2317" s="29"/>
      <c r="P2317" s="29"/>
      <c r="Q2317" s="29"/>
      <c r="R2317" s="29"/>
      <c r="S2317" s="29"/>
    </row>
    <row r="2318" spans="13:19" ht="16.5" customHeight="1" x14ac:dyDescent="0.2">
      <c r="M2318" s="29"/>
      <c r="N2318" s="29"/>
      <c r="O2318" s="29"/>
      <c r="P2318" s="29"/>
      <c r="Q2318" s="29"/>
      <c r="R2318" s="29"/>
      <c r="S2318" s="29"/>
    </row>
    <row r="2319" spans="13:19" ht="16.5" customHeight="1" x14ac:dyDescent="0.2">
      <c r="M2319" s="29"/>
      <c r="N2319" s="29"/>
      <c r="O2319" s="29"/>
      <c r="P2319" s="29"/>
      <c r="Q2319" s="29"/>
      <c r="R2319" s="29"/>
      <c r="S2319" s="29"/>
    </row>
    <row r="2320" spans="13:19" ht="16.5" customHeight="1" x14ac:dyDescent="0.2">
      <c r="M2320" s="29"/>
      <c r="N2320" s="29"/>
      <c r="O2320" s="29"/>
      <c r="P2320" s="29"/>
      <c r="Q2320" s="29"/>
      <c r="R2320" s="29"/>
      <c r="S2320" s="29"/>
    </row>
    <row r="2321" spans="13:19" ht="16.5" customHeight="1" x14ac:dyDescent="0.2">
      <c r="M2321" s="29"/>
      <c r="N2321" s="29"/>
      <c r="O2321" s="29"/>
      <c r="P2321" s="29"/>
      <c r="Q2321" s="29"/>
      <c r="R2321" s="29"/>
      <c r="S2321" s="29"/>
    </row>
    <row r="2322" spans="13:19" ht="16.5" customHeight="1" x14ac:dyDescent="0.2">
      <c r="M2322" s="29"/>
      <c r="N2322" s="29"/>
      <c r="O2322" s="29"/>
      <c r="P2322" s="29"/>
      <c r="Q2322" s="29"/>
      <c r="R2322" s="29"/>
      <c r="S2322" s="29"/>
    </row>
    <row r="2323" spans="13:19" ht="16.5" customHeight="1" x14ac:dyDescent="0.2">
      <c r="M2323" s="29"/>
      <c r="N2323" s="29"/>
      <c r="O2323" s="29"/>
      <c r="P2323" s="29"/>
      <c r="Q2323" s="29"/>
      <c r="R2323" s="29"/>
      <c r="S2323" s="29"/>
    </row>
    <row r="2324" spans="13:19" ht="16.5" customHeight="1" x14ac:dyDescent="0.2">
      <c r="M2324" s="29"/>
      <c r="N2324" s="29"/>
      <c r="O2324" s="29"/>
      <c r="P2324" s="29"/>
      <c r="Q2324" s="29"/>
      <c r="R2324" s="29"/>
      <c r="S2324" s="29"/>
    </row>
    <row r="2325" spans="13:19" ht="16.5" customHeight="1" x14ac:dyDescent="0.2">
      <c r="M2325" s="29"/>
      <c r="N2325" s="29"/>
      <c r="O2325" s="29"/>
      <c r="P2325" s="29"/>
      <c r="Q2325" s="29"/>
      <c r="R2325" s="29"/>
      <c r="S2325" s="29"/>
    </row>
    <row r="2326" spans="13:19" ht="16.5" customHeight="1" x14ac:dyDescent="0.2">
      <c r="M2326" s="29"/>
      <c r="N2326" s="29"/>
      <c r="O2326" s="29"/>
      <c r="P2326" s="29"/>
      <c r="Q2326" s="29"/>
      <c r="R2326" s="29"/>
      <c r="S2326" s="29"/>
    </row>
    <row r="2327" spans="13:19" ht="16.5" customHeight="1" x14ac:dyDescent="0.2">
      <c r="M2327" s="29"/>
      <c r="N2327" s="29"/>
      <c r="O2327" s="29"/>
      <c r="P2327" s="29"/>
      <c r="Q2327" s="29"/>
      <c r="R2327" s="29"/>
      <c r="S2327" s="29"/>
    </row>
    <row r="2328" spans="13:19" ht="16.5" customHeight="1" x14ac:dyDescent="0.2">
      <c r="M2328" s="29"/>
      <c r="N2328" s="29"/>
      <c r="O2328" s="29"/>
      <c r="P2328" s="29"/>
      <c r="Q2328" s="29"/>
      <c r="R2328" s="29"/>
      <c r="S2328" s="29"/>
    </row>
    <row r="2329" spans="13:19" ht="16.5" customHeight="1" x14ac:dyDescent="0.2">
      <c r="M2329" s="29"/>
      <c r="N2329" s="29"/>
      <c r="O2329" s="29"/>
      <c r="P2329" s="29"/>
      <c r="Q2329" s="29"/>
      <c r="R2329" s="29"/>
      <c r="S2329" s="29"/>
    </row>
    <row r="2330" spans="13:19" ht="16.5" customHeight="1" x14ac:dyDescent="0.2">
      <c r="M2330" s="29"/>
      <c r="N2330" s="29"/>
      <c r="O2330" s="29"/>
      <c r="P2330" s="29"/>
      <c r="Q2330" s="29"/>
      <c r="R2330" s="29"/>
      <c r="S2330" s="29"/>
    </row>
    <row r="2331" spans="13:19" ht="16.5" customHeight="1" x14ac:dyDescent="0.2">
      <c r="M2331" s="29"/>
      <c r="N2331" s="29"/>
      <c r="O2331" s="29"/>
      <c r="P2331" s="29"/>
      <c r="Q2331" s="29"/>
      <c r="R2331" s="29"/>
      <c r="S2331" s="29"/>
    </row>
    <row r="2332" spans="13:19" ht="16.5" customHeight="1" x14ac:dyDescent="0.2">
      <c r="M2332" s="29"/>
      <c r="N2332" s="29"/>
      <c r="O2332" s="29"/>
      <c r="P2332" s="29"/>
      <c r="Q2332" s="29"/>
      <c r="R2332" s="29"/>
      <c r="S2332" s="29"/>
    </row>
    <row r="2333" spans="13:19" ht="16.5" customHeight="1" x14ac:dyDescent="0.2">
      <c r="M2333" s="29"/>
      <c r="N2333" s="29"/>
      <c r="O2333" s="29"/>
      <c r="P2333" s="29"/>
      <c r="Q2333" s="29"/>
      <c r="R2333" s="29"/>
      <c r="S2333" s="29"/>
    </row>
    <row r="2334" spans="13:19" ht="16.5" customHeight="1" x14ac:dyDescent="0.2">
      <c r="M2334" s="29"/>
      <c r="N2334" s="29"/>
      <c r="O2334" s="29"/>
      <c r="P2334" s="29"/>
      <c r="Q2334" s="29"/>
      <c r="R2334" s="29"/>
      <c r="S2334" s="29"/>
    </row>
    <row r="2335" spans="13:19" ht="16.5" customHeight="1" x14ac:dyDescent="0.2">
      <c r="M2335" s="29"/>
      <c r="N2335" s="29"/>
      <c r="O2335" s="29"/>
      <c r="P2335" s="29"/>
      <c r="Q2335" s="29"/>
      <c r="R2335" s="29"/>
      <c r="S2335" s="29"/>
    </row>
    <row r="2336" spans="13:19" ht="16.5" customHeight="1" x14ac:dyDescent="0.2">
      <c r="M2336" s="29"/>
      <c r="N2336" s="29"/>
      <c r="O2336" s="29"/>
      <c r="P2336" s="29"/>
      <c r="Q2336" s="29"/>
      <c r="R2336" s="29"/>
      <c r="S2336" s="29"/>
    </row>
    <row r="2337" spans="13:19" ht="16.5" customHeight="1" x14ac:dyDescent="0.2">
      <c r="M2337" s="29"/>
      <c r="N2337" s="29"/>
      <c r="O2337" s="29"/>
      <c r="P2337" s="29"/>
      <c r="Q2337" s="29"/>
      <c r="R2337" s="29"/>
      <c r="S2337" s="29"/>
    </row>
    <row r="2338" spans="13:19" ht="16.5" customHeight="1" x14ac:dyDescent="0.2">
      <c r="M2338" s="29"/>
      <c r="N2338" s="29"/>
      <c r="O2338" s="29"/>
      <c r="P2338" s="29"/>
      <c r="Q2338" s="29"/>
      <c r="R2338" s="29"/>
      <c r="S2338" s="29"/>
    </row>
    <row r="2339" spans="13:19" ht="16.5" customHeight="1" x14ac:dyDescent="0.2">
      <c r="M2339" s="29"/>
      <c r="N2339" s="29"/>
      <c r="O2339" s="29"/>
      <c r="P2339" s="29"/>
      <c r="Q2339" s="29"/>
      <c r="R2339" s="29"/>
      <c r="S2339" s="29"/>
    </row>
    <row r="2340" spans="13:19" ht="16.5" customHeight="1" x14ac:dyDescent="0.2">
      <c r="M2340" s="29"/>
      <c r="N2340" s="29"/>
      <c r="O2340" s="29"/>
      <c r="P2340" s="29"/>
      <c r="Q2340" s="29"/>
      <c r="R2340" s="29"/>
      <c r="S2340" s="29"/>
    </row>
    <row r="2341" spans="13:19" ht="16.5" customHeight="1" x14ac:dyDescent="0.2">
      <c r="M2341" s="29"/>
      <c r="N2341" s="29"/>
      <c r="O2341" s="29"/>
      <c r="P2341" s="29"/>
      <c r="Q2341" s="29"/>
      <c r="R2341" s="29"/>
      <c r="S2341" s="29"/>
    </row>
    <row r="2342" spans="13:19" ht="16.5" customHeight="1" x14ac:dyDescent="0.2">
      <c r="M2342" s="29"/>
      <c r="N2342" s="29"/>
      <c r="O2342" s="29"/>
      <c r="P2342" s="29"/>
      <c r="Q2342" s="29"/>
      <c r="R2342" s="29"/>
      <c r="S2342" s="29"/>
    </row>
    <row r="2343" spans="13:19" ht="16.5" customHeight="1" x14ac:dyDescent="0.2">
      <c r="M2343" s="29"/>
      <c r="N2343" s="29"/>
      <c r="O2343" s="29"/>
      <c r="P2343" s="29"/>
      <c r="Q2343" s="29"/>
      <c r="R2343" s="29"/>
      <c r="S2343" s="29"/>
    </row>
    <row r="2344" spans="13:19" ht="16.5" customHeight="1" x14ac:dyDescent="0.2">
      <c r="M2344" s="29"/>
      <c r="N2344" s="29"/>
      <c r="O2344" s="29"/>
      <c r="P2344" s="29"/>
      <c r="Q2344" s="29"/>
      <c r="R2344" s="29"/>
      <c r="S2344" s="29"/>
    </row>
    <row r="2345" spans="13:19" ht="16.5" customHeight="1" x14ac:dyDescent="0.2">
      <c r="M2345" s="29"/>
      <c r="N2345" s="29"/>
      <c r="O2345" s="29"/>
      <c r="P2345" s="29"/>
      <c r="Q2345" s="29"/>
      <c r="R2345" s="29"/>
      <c r="S2345" s="29"/>
    </row>
    <row r="2346" spans="13:19" ht="16.5" customHeight="1" x14ac:dyDescent="0.2">
      <c r="M2346" s="29"/>
      <c r="N2346" s="29"/>
      <c r="O2346" s="29"/>
      <c r="P2346" s="29"/>
      <c r="Q2346" s="29"/>
      <c r="R2346" s="29"/>
      <c r="S2346" s="29"/>
    </row>
    <row r="2347" spans="13:19" ht="16.5" customHeight="1" x14ac:dyDescent="0.2">
      <c r="M2347" s="29"/>
      <c r="N2347" s="29"/>
      <c r="O2347" s="29"/>
      <c r="P2347" s="29"/>
      <c r="Q2347" s="29"/>
      <c r="R2347" s="29"/>
      <c r="S2347" s="29"/>
    </row>
    <row r="2348" spans="13:19" ht="16.5" customHeight="1" x14ac:dyDescent="0.2">
      <c r="M2348" s="29"/>
      <c r="N2348" s="29"/>
      <c r="O2348" s="29"/>
      <c r="P2348" s="29"/>
      <c r="Q2348" s="29"/>
      <c r="R2348" s="29"/>
      <c r="S2348" s="29"/>
    </row>
    <row r="2349" spans="13:19" ht="16.5" customHeight="1" x14ac:dyDescent="0.2">
      <c r="M2349" s="29"/>
      <c r="N2349" s="29"/>
      <c r="O2349" s="29"/>
      <c r="P2349" s="29"/>
      <c r="Q2349" s="29"/>
      <c r="R2349" s="29"/>
      <c r="S2349" s="29"/>
    </row>
    <row r="2350" spans="13:19" ht="16.5" customHeight="1" x14ac:dyDescent="0.2">
      <c r="M2350" s="29"/>
      <c r="N2350" s="29"/>
      <c r="O2350" s="29"/>
      <c r="P2350" s="29"/>
      <c r="Q2350" s="29"/>
      <c r="R2350" s="29"/>
      <c r="S2350" s="29"/>
    </row>
    <row r="2351" spans="13:19" ht="16.5" customHeight="1" x14ac:dyDescent="0.2">
      <c r="M2351" s="29"/>
      <c r="N2351" s="29"/>
      <c r="O2351" s="29"/>
      <c r="P2351" s="29"/>
      <c r="Q2351" s="29"/>
      <c r="R2351" s="29"/>
      <c r="S2351" s="29"/>
    </row>
    <row r="2352" spans="13:19" ht="16.5" customHeight="1" x14ac:dyDescent="0.2">
      <c r="M2352" s="29"/>
      <c r="N2352" s="29"/>
      <c r="O2352" s="29"/>
      <c r="P2352" s="29"/>
      <c r="Q2352" s="29"/>
      <c r="R2352" s="29"/>
      <c r="S2352" s="29"/>
    </row>
    <row r="2353" spans="13:19" ht="16.5" customHeight="1" x14ac:dyDescent="0.2">
      <c r="M2353" s="29"/>
      <c r="N2353" s="29"/>
      <c r="O2353" s="29"/>
      <c r="P2353" s="29"/>
      <c r="Q2353" s="29"/>
      <c r="R2353" s="29"/>
      <c r="S2353" s="29"/>
    </row>
    <row r="2354" spans="13:19" ht="16.5" customHeight="1" x14ac:dyDescent="0.2">
      <c r="M2354" s="29"/>
      <c r="N2354" s="29"/>
      <c r="O2354" s="29"/>
      <c r="P2354" s="29"/>
      <c r="Q2354" s="29"/>
      <c r="R2354" s="29"/>
      <c r="S2354" s="29"/>
    </row>
    <row r="2355" spans="13:19" ht="16.5" customHeight="1" x14ac:dyDescent="0.2">
      <c r="M2355" s="29"/>
      <c r="N2355" s="29"/>
      <c r="O2355" s="29"/>
      <c r="P2355" s="29"/>
      <c r="Q2355" s="29"/>
      <c r="R2355" s="29"/>
      <c r="S2355" s="29"/>
    </row>
    <row r="2356" spans="13:19" ht="16.5" customHeight="1" x14ac:dyDescent="0.2">
      <c r="M2356" s="29"/>
      <c r="N2356" s="29"/>
      <c r="O2356" s="29"/>
      <c r="P2356" s="29"/>
      <c r="Q2356" s="29"/>
      <c r="R2356" s="29"/>
      <c r="S2356" s="29"/>
    </row>
    <row r="2357" spans="13:19" ht="16.5" customHeight="1" x14ac:dyDescent="0.2">
      <c r="M2357" s="29"/>
      <c r="N2357" s="29"/>
      <c r="O2357" s="29"/>
      <c r="P2357" s="29"/>
      <c r="Q2357" s="29"/>
      <c r="R2357" s="29"/>
      <c r="S2357" s="29"/>
    </row>
    <row r="2358" spans="13:19" ht="16.5" customHeight="1" x14ac:dyDescent="0.2">
      <c r="M2358" s="29"/>
      <c r="N2358" s="29"/>
      <c r="O2358" s="29"/>
      <c r="P2358" s="29"/>
      <c r="Q2358" s="29"/>
      <c r="R2358" s="29"/>
      <c r="S2358" s="29"/>
    </row>
    <row r="2359" spans="13:19" ht="16.5" customHeight="1" x14ac:dyDescent="0.2">
      <c r="M2359" s="29"/>
      <c r="N2359" s="29"/>
      <c r="O2359" s="29"/>
      <c r="P2359" s="29"/>
      <c r="Q2359" s="29"/>
      <c r="R2359" s="29"/>
      <c r="S2359" s="29"/>
    </row>
    <row r="2360" spans="13:19" ht="16.5" customHeight="1" x14ac:dyDescent="0.2">
      <c r="M2360" s="29"/>
      <c r="N2360" s="29"/>
      <c r="O2360" s="29"/>
      <c r="P2360" s="29"/>
      <c r="Q2360" s="29"/>
      <c r="R2360" s="29"/>
      <c r="S2360" s="29"/>
    </row>
    <row r="2361" spans="13:19" ht="16.5" customHeight="1" x14ac:dyDescent="0.2">
      <c r="M2361" s="29"/>
      <c r="N2361" s="29"/>
      <c r="O2361" s="29"/>
      <c r="P2361" s="29"/>
      <c r="Q2361" s="29"/>
      <c r="R2361" s="29"/>
      <c r="S2361" s="29"/>
    </row>
    <row r="2362" spans="13:19" ht="16.5" customHeight="1" x14ac:dyDescent="0.2">
      <c r="M2362" s="29"/>
      <c r="N2362" s="29"/>
      <c r="O2362" s="29"/>
      <c r="P2362" s="29"/>
      <c r="Q2362" s="29"/>
      <c r="R2362" s="29"/>
      <c r="S2362" s="29"/>
    </row>
    <row r="2363" spans="13:19" ht="16.5" customHeight="1" x14ac:dyDescent="0.2">
      <c r="M2363" s="29"/>
      <c r="N2363" s="29"/>
      <c r="O2363" s="29"/>
      <c r="P2363" s="29"/>
      <c r="Q2363" s="29"/>
      <c r="R2363" s="29"/>
      <c r="S2363" s="29"/>
    </row>
    <row r="2364" spans="13:19" ht="16.5" customHeight="1" x14ac:dyDescent="0.2">
      <c r="M2364" s="29"/>
      <c r="N2364" s="29"/>
      <c r="O2364" s="29"/>
      <c r="P2364" s="29"/>
      <c r="Q2364" s="29"/>
      <c r="R2364" s="29"/>
      <c r="S2364" s="29"/>
    </row>
    <row r="2365" spans="13:19" ht="16.5" customHeight="1" x14ac:dyDescent="0.2">
      <c r="M2365" s="29"/>
      <c r="N2365" s="29"/>
      <c r="O2365" s="29"/>
      <c r="P2365" s="29"/>
      <c r="Q2365" s="29"/>
      <c r="R2365" s="29"/>
      <c r="S2365" s="29"/>
    </row>
    <row r="2366" spans="13:19" ht="16.5" customHeight="1" x14ac:dyDescent="0.2">
      <c r="M2366" s="29"/>
      <c r="N2366" s="29"/>
      <c r="O2366" s="29"/>
      <c r="P2366" s="29"/>
      <c r="Q2366" s="29"/>
      <c r="R2366" s="29"/>
      <c r="S2366" s="29"/>
    </row>
    <row r="2367" spans="13:19" ht="16.5" customHeight="1" x14ac:dyDescent="0.2">
      <c r="M2367" s="29"/>
      <c r="N2367" s="29"/>
      <c r="O2367" s="29"/>
      <c r="P2367" s="29"/>
      <c r="Q2367" s="29"/>
      <c r="R2367" s="29"/>
      <c r="S2367" s="29"/>
    </row>
    <row r="2368" spans="13:19" ht="16.5" customHeight="1" x14ac:dyDescent="0.2">
      <c r="M2368" s="29"/>
      <c r="N2368" s="29"/>
      <c r="O2368" s="29"/>
      <c r="P2368" s="29"/>
      <c r="Q2368" s="29"/>
      <c r="R2368" s="29"/>
      <c r="S2368" s="29"/>
    </row>
    <row r="2369" spans="13:19" ht="16.5" customHeight="1" x14ac:dyDescent="0.2">
      <c r="M2369" s="29"/>
      <c r="N2369" s="29"/>
      <c r="O2369" s="29"/>
      <c r="P2369" s="29"/>
      <c r="Q2369" s="29"/>
      <c r="R2369" s="29"/>
      <c r="S2369" s="29"/>
    </row>
    <row r="2370" spans="13:19" ht="16.5" customHeight="1" x14ac:dyDescent="0.2">
      <c r="M2370" s="29"/>
      <c r="N2370" s="29"/>
      <c r="O2370" s="29"/>
      <c r="P2370" s="29"/>
      <c r="Q2370" s="29"/>
      <c r="R2370" s="29"/>
      <c r="S2370" s="29"/>
    </row>
    <row r="2371" spans="13:19" ht="16.5" customHeight="1" x14ac:dyDescent="0.2">
      <c r="M2371" s="29"/>
      <c r="N2371" s="29"/>
      <c r="O2371" s="29"/>
      <c r="P2371" s="29"/>
      <c r="Q2371" s="29"/>
      <c r="R2371" s="29"/>
      <c r="S2371" s="29"/>
    </row>
    <row r="2372" spans="13:19" ht="16.5" customHeight="1" x14ac:dyDescent="0.2">
      <c r="M2372" s="29"/>
      <c r="N2372" s="29"/>
      <c r="O2372" s="29"/>
      <c r="P2372" s="29"/>
      <c r="Q2372" s="29"/>
      <c r="R2372" s="29"/>
      <c r="S2372" s="29"/>
    </row>
    <row r="2373" spans="13:19" ht="16.5" customHeight="1" x14ac:dyDescent="0.2">
      <c r="M2373" s="29"/>
      <c r="N2373" s="29"/>
      <c r="O2373" s="29"/>
      <c r="P2373" s="29"/>
      <c r="Q2373" s="29"/>
      <c r="R2373" s="29"/>
      <c r="S2373" s="29"/>
    </row>
    <row r="2374" spans="13:19" ht="16.5" customHeight="1" x14ac:dyDescent="0.2">
      <c r="M2374" s="29"/>
      <c r="N2374" s="29"/>
      <c r="O2374" s="29"/>
      <c r="P2374" s="29"/>
      <c r="Q2374" s="29"/>
      <c r="R2374" s="29"/>
      <c r="S2374" s="29"/>
    </row>
    <row r="2375" spans="13:19" ht="16.5" customHeight="1" x14ac:dyDescent="0.2">
      <c r="M2375" s="29"/>
      <c r="N2375" s="29"/>
      <c r="O2375" s="29"/>
      <c r="P2375" s="29"/>
      <c r="Q2375" s="29"/>
      <c r="R2375" s="29"/>
      <c r="S2375" s="29"/>
    </row>
    <row r="2376" spans="13:19" ht="16.5" customHeight="1" x14ac:dyDescent="0.2">
      <c r="M2376" s="29"/>
      <c r="N2376" s="29"/>
      <c r="O2376" s="29"/>
      <c r="P2376" s="29"/>
      <c r="Q2376" s="29"/>
      <c r="R2376" s="29"/>
      <c r="S2376" s="29"/>
    </row>
    <row r="2377" spans="13:19" ht="16.5" customHeight="1" x14ac:dyDescent="0.2">
      <c r="M2377" s="29"/>
      <c r="N2377" s="29"/>
      <c r="O2377" s="29"/>
      <c r="P2377" s="29"/>
      <c r="Q2377" s="29"/>
      <c r="R2377" s="29"/>
      <c r="S2377" s="29"/>
    </row>
    <row r="2378" spans="13:19" ht="16.5" customHeight="1" x14ac:dyDescent="0.2">
      <c r="M2378" s="29"/>
      <c r="N2378" s="29"/>
      <c r="O2378" s="29"/>
      <c r="P2378" s="29"/>
      <c r="Q2378" s="29"/>
      <c r="R2378" s="29"/>
      <c r="S2378" s="29"/>
    </row>
    <row r="2379" spans="13:19" ht="16.5" customHeight="1" x14ac:dyDescent="0.2">
      <c r="M2379" s="29"/>
      <c r="N2379" s="29"/>
      <c r="O2379" s="29"/>
      <c r="P2379" s="29"/>
      <c r="Q2379" s="29"/>
      <c r="R2379" s="29"/>
      <c r="S2379" s="29"/>
    </row>
    <row r="2380" spans="13:19" ht="16.5" customHeight="1" x14ac:dyDescent="0.2">
      <c r="M2380" s="29"/>
      <c r="N2380" s="29"/>
      <c r="O2380" s="29"/>
      <c r="P2380" s="29"/>
      <c r="Q2380" s="29"/>
      <c r="R2380" s="29"/>
      <c r="S2380" s="29"/>
    </row>
    <row r="2381" spans="13:19" ht="16.5" customHeight="1" x14ac:dyDescent="0.2">
      <c r="M2381" s="29"/>
      <c r="N2381" s="29"/>
      <c r="O2381" s="29"/>
      <c r="P2381" s="29"/>
      <c r="Q2381" s="29"/>
      <c r="R2381" s="29"/>
      <c r="S2381" s="29"/>
    </row>
    <row r="2382" spans="13:19" ht="16.5" customHeight="1" x14ac:dyDescent="0.2">
      <c r="M2382" s="29"/>
      <c r="N2382" s="29"/>
      <c r="O2382" s="29"/>
      <c r="P2382" s="29"/>
      <c r="Q2382" s="29"/>
      <c r="R2382" s="29"/>
      <c r="S2382" s="29"/>
    </row>
    <row r="2383" spans="13:19" ht="16.5" customHeight="1" x14ac:dyDescent="0.2">
      <c r="M2383" s="29"/>
      <c r="N2383" s="29"/>
      <c r="O2383" s="29"/>
      <c r="P2383" s="29"/>
      <c r="Q2383" s="29"/>
      <c r="R2383" s="29"/>
      <c r="S2383" s="29"/>
    </row>
    <row r="2384" spans="13:19" ht="16.5" customHeight="1" x14ac:dyDescent="0.2">
      <c r="M2384" s="29"/>
      <c r="N2384" s="29"/>
      <c r="O2384" s="29"/>
      <c r="P2384" s="29"/>
      <c r="Q2384" s="29"/>
      <c r="R2384" s="29"/>
      <c r="S2384" s="29"/>
    </row>
    <row r="2385" spans="13:19" ht="16.5" customHeight="1" x14ac:dyDescent="0.2">
      <c r="M2385" s="29"/>
      <c r="N2385" s="29"/>
      <c r="O2385" s="29"/>
      <c r="P2385" s="29"/>
      <c r="Q2385" s="29"/>
      <c r="R2385" s="29"/>
      <c r="S2385" s="29"/>
    </row>
    <row r="2386" spans="13:19" ht="16.5" customHeight="1" x14ac:dyDescent="0.2">
      <c r="M2386" s="29"/>
      <c r="N2386" s="29"/>
      <c r="O2386" s="29"/>
      <c r="P2386" s="29"/>
      <c r="Q2386" s="29"/>
      <c r="R2386" s="29"/>
      <c r="S2386" s="29"/>
    </row>
    <row r="2387" spans="13:19" ht="16.5" customHeight="1" x14ac:dyDescent="0.2">
      <c r="M2387" s="29"/>
      <c r="N2387" s="29"/>
      <c r="O2387" s="29"/>
      <c r="P2387" s="29"/>
      <c r="Q2387" s="29"/>
      <c r="R2387" s="29"/>
      <c r="S2387" s="29"/>
    </row>
    <row r="2388" spans="13:19" ht="16.5" customHeight="1" x14ac:dyDescent="0.2">
      <c r="M2388" s="29"/>
      <c r="N2388" s="29"/>
      <c r="O2388" s="29"/>
      <c r="P2388" s="29"/>
      <c r="Q2388" s="29"/>
      <c r="R2388" s="29"/>
      <c r="S2388" s="29"/>
    </row>
    <row r="2389" spans="13:19" ht="16.5" customHeight="1" x14ac:dyDescent="0.2">
      <c r="M2389" s="29"/>
      <c r="N2389" s="29"/>
      <c r="O2389" s="29"/>
      <c r="P2389" s="29"/>
      <c r="Q2389" s="29"/>
      <c r="R2389" s="29"/>
      <c r="S2389" s="29"/>
    </row>
    <row r="2390" spans="13:19" ht="16.5" customHeight="1" x14ac:dyDescent="0.2">
      <c r="M2390" s="29"/>
      <c r="N2390" s="29"/>
      <c r="O2390" s="29"/>
      <c r="P2390" s="29"/>
      <c r="Q2390" s="29"/>
      <c r="R2390" s="29"/>
      <c r="S2390" s="29"/>
    </row>
    <row r="2391" spans="13:19" ht="16.5" customHeight="1" x14ac:dyDescent="0.2">
      <c r="M2391" s="29"/>
      <c r="N2391" s="29"/>
      <c r="O2391" s="29"/>
      <c r="P2391" s="29"/>
      <c r="Q2391" s="29"/>
      <c r="R2391" s="29"/>
      <c r="S2391" s="29"/>
    </row>
    <row r="2392" spans="13:19" ht="16.5" customHeight="1" x14ac:dyDescent="0.2">
      <c r="M2392" s="29"/>
      <c r="N2392" s="29"/>
      <c r="O2392" s="29"/>
      <c r="P2392" s="29"/>
      <c r="Q2392" s="29"/>
      <c r="R2392" s="29"/>
      <c r="S2392" s="29"/>
    </row>
    <row r="2393" spans="13:19" ht="16.5" customHeight="1" x14ac:dyDescent="0.2">
      <c r="M2393" s="29"/>
      <c r="N2393" s="29"/>
      <c r="O2393" s="29"/>
      <c r="P2393" s="29"/>
      <c r="Q2393" s="29"/>
      <c r="R2393" s="29"/>
      <c r="S2393" s="29"/>
    </row>
    <row r="2394" spans="13:19" ht="16.5" customHeight="1" x14ac:dyDescent="0.2">
      <c r="M2394" s="29"/>
      <c r="N2394" s="29"/>
      <c r="O2394" s="29"/>
      <c r="P2394" s="29"/>
      <c r="Q2394" s="29"/>
      <c r="R2394" s="29"/>
      <c r="S2394" s="29"/>
    </row>
    <row r="2395" spans="13:19" ht="16.5" customHeight="1" x14ac:dyDescent="0.2">
      <c r="M2395" s="29"/>
      <c r="N2395" s="29"/>
      <c r="O2395" s="29"/>
      <c r="P2395" s="29"/>
      <c r="Q2395" s="29"/>
      <c r="R2395" s="29"/>
      <c r="S2395" s="29"/>
    </row>
    <row r="2396" spans="13:19" ht="16.5" customHeight="1" x14ac:dyDescent="0.2">
      <c r="M2396" s="29"/>
      <c r="N2396" s="29"/>
      <c r="O2396" s="29"/>
      <c r="P2396" s="29"/>
      <c r="Q2396" s="29"/>
      <c r="R2396" s="29"/>
      <c r="S2396" s="29"/>
    </row>
    <row r="2397" spans="13:19" ht="16.5" customHeight="1" x14ac:dyDescent="0.2">
      <c r="M2397" s="29"/>
      <c r="N2397" s="29"/>
      <c r="O2397" s="29"/>
      <c r="P2397" s="29"/>
      <c r="Q2397" s="29"/>
      <c r="R2397" s="29"/>
      <c r="S2397" s="29"/>
    </row>
    <row r="2398" spans="13:19" ht="16.5" customHeight="1" x14ac:dyDescent="0.2">
      <c r="M2398" s="29"/>
      <c r="N2398" s="29"/>
      <c r="O2398" s="29"/>
      <c r="P2398" s="29"/>
      <c r="Q2398" s="29"/>
      <c r="R2398" s="29"/>
      <c r="S2398" s="29"/>
    </row>
    <row r="2399" spans="13:19" ht="16.5" customHeight="1" x14ac:dyDescent="0.2">
      <c r="M2399" s="29"/>
      <c r="N2399" s="29"/>
      <c r="O2399" s="29"/>
      <c r="P2399" s="29"/>
      <c r="Q2399" s="29"/>
      <c r="R2399" s="29"/>
      <c r="S2399" s="29"/>
    </row>
    <row r="2400" spans="13:19" ht="16.5" customHeight="1" x14ac:dyDescent="0.2">
      <c r="M2400" s="29"/>
      <c r="N2400" s="29"/>
      <c r="O2400" s="29"/>
      <c r="P2400" s="29"/>
      <c r="Q2400" s="29"/>
      <c r="R2400" s="29"/>
      <c r="S2400" s="29"/>
    </row>
    <row r="2401" spans="13:19" ht="16.5" customHeight="1" x14ac:dyDescent="0.2">
      <c r="M2401" s="29"/>
      <c r="N2401" s="29"/>
      <c r="O2401" s="29"/>
      <c r="P2401" s="29"/>
      <c r="Q2401" s="29"/>
      <c r="R2401" s="29"/>
      <c r="S2401" s="29"/>
    </row>
    <row r="2402" spans="13:19" ht="16.5" customHeight="1" x14ac:dyDescent="0.2">
      <c r="M2402" s="29"/>
      <c r="N2402" s="29"/>
      <c r="O2402" s="29"/>
      <c r="P2402" s="29"/>
      <c r="Q2402" s="29"/>
      <c r="R2402" s="29"/>
      <c r="S2402" s="29"/>
    </row>
    <row r="2403" spans="13:19" ht="16.5" customHeight="1" x14ac:dyDescent="0.2">
      <c r="M2403" s="29"/>
      <c r="N2403" s="29"/>
      <c r="O2403" s="29"/>
      <c r="P2403" s="29"/>
      <c r="Q2403" s="29"/>
      <c r="R2403" s="29"/>
      <c r="S2403" s="29"/>
    </row>
    <row r="2404" spans="13:19" ht="16.5" customHeight="1" x14ac:dyDescent="0.2">
      <c r="M2404" s="29"/>
      <c r="N2404" s="29"/>
      <c r="O2404" s="29"/>
      <c r="P2404" s="29"/>
      <c r="Q2404" s="29"/>
      <c r="R2404" s="29"/>
      <c r="S2404" s="29"/>
    </row>
    <row r="2405" spans="13:19" ht="16.5" customHeight="1" x14ac:dyDescent="0.2">
      <c r="M2405" s="29"/>
      <c r="N2405" s="29"/>
      <c r="O2405" s="29"/>
      <c r="P2405" s="29"/>
      <c r="Q2405" s="29"/>
      <c r="R2405" s="29"/>
      <c r="S2405" s="29"/>
    </row>
    <row r="2406" spans="13:19" ht="16.5" customHeight="1" x14ac:dyDescent="0.2">
      <c r="M2406" s="29"/>
      <c r="N2406" s="29"/>
      <c r="O2406" s="29"/>
      <c r="P2406" s="29"/>
      <c r="Q2406" s="29"/>
      <c r="R2406" s="29"/>
      <c r="S2406" s="29"/>
    </row>
    <row r="2407" spans="13:19" ht="16.5" customHeight="1" x14ac:dyDescent="0.2">
      <c r="M2407" s="29"/>
      <c r="N2407" s="29"/>
      <c r="O2407" s="29"/>
      <c r="P2407" s="29"/>
      <c r="Q2407" s="29"/>
      <c r="R2407" s="29"/>
      <c r="S2407" s="29"/>
    </row>
    <row r="2408" spans="13:19" ht="16.5" customHeight="1" x14ac:dyDescent="0.2">
      <c r="M2408" s="29"/>
      <c r="N2408" s="29"/>
      <c r="O2408" s="29"/>
      <c r="P2408" s="29"/>
      <c r="Q2408" s="29"/>
      <c r="R2408" s="29"/>
      <c r="S2408" s="29"/>
    </row>
    <row r="2409" spans="13:19" ht="16.5" customHeight="1" x14ac:dyDescent="0.2">
      <c r="M2409" s="29"/>
      <c r="N2409" s="29"/>
      <c r="O2409" s="29"/>
      <c r="P2409" s="29"/>
      <c r="Q2409" s="29"/>
      <c r="R2409" s="29"/>
      <c r="S2409" s="29"/>
    </row>
    <row r="2410" spans="13:19" ht="16.5" customHeight="1" x14ac:dyDescent="0.2">
      <c r="M2410" s="29"/>
      <c r="N2410" s="29"/>
      <c r="O2410" s="29"/>
      <c r="P2410" s="29"/>
      <c r="Q2410" s="29"/>
      <c r="R2410" s="29"/>
      <c r="S2410" s="29"/>
    </row>
    <row r="2411" spans="13:19" ht="16.5" customHeight="1" x14ac:dyDescent="0.2">
      <c r="M2411" s="29"/>
      <c r="N2411" s="29"/>
      <c r="O2411" s="29"/>
      <c r="P2411" s="29"/>
      <c r="Q2411" s="29"/>
      <c r="R2411" s="29"/>
      <c r="S2411" s="29"/>
    </row>
    <row r="2412" spans="13:19" ht="16.5" customHeight="1" x14ac:dyDescent="0.2">
      <c r="M2412" s="29"/>
      <c r="N2412" s="29"/>
      <c r="O2412" s="29"/>
      <c r="P2412" s="29"/>
      <c r="Q2412" s="29"/>
      <c r="R2412" s="29"/>
      <c r="S2412" s="29"/>
    </row>
    <row r="2413" spans="13:19" ht="16.5" customHeight="1" x14ac:dyDescent="0.2">
      <c r="M2413" s="29"/>
      <c r="N2413" s="29"/>
      <c r="O2413" s="29"/>
      <c r="P2413" s="29"/>
      <c r="Q2413" s="29"/>
      <c r="R2413" s="29"/>
      <c r="S2413" s="29"/>
    </row>
    <row r="2414" spans="13:19" ht="16.5" customHeight="1" x14ac:dyDescent="0.2">
      <c r="M2414" s="29"/>
      <c r="N2414" s="29"/>
      <c r="O2414" s="29"/>
      <c r="P2414" s="29"/>
      <c r="Q2414" s="29"/>
      <c r="R2414" s="29"/>
      <c r="S2414" s="29"/>
    </row>
    <row r="2415" spans="13:19" ht="16.5" customHeight="1" x14ac:dyDescent="0.2">
      <c r="M2415" s="29"/>
      <c r="N2415" s="29"/>
      <c r="O2415" s="29"/>
      <c r="P2415" s="29"/>
      <c r="Q2415" s="29"/>
      <c r="R2415" s="29"/>
      <c r="S2415" s="29"/>
    </row>
    <row r="2416" spans="13:19" ht="16.5" customHeight="1" x14ac:dyDescent="0.2">
      <c r="M2416" s="29"/>
      <c r="N2416" s="29"/>
      <c r="O2416" s="29"/>
      <c r="P2416" s="29"/>
      <c r="Q2416" s="29"/>
      <c r="R2416" s="29"/>
      <c r="S2416" s="29"/>
    </row>
    <row r="2417" spans="13:19" ht="16.5" customHeight="1" x14ac:dyDescent="0.2">
      <c r="M2417" s="29"/>
      <c r="N2417" s="29"/>
      <c r="O2417" s="29"/>
      <c r="P2417" s="29"/>
      <c r="Q2417" s="29"/>
      <c r="R2417" s="29"/>
      <c r="S2417" s="29"/>
    </row>
    <row r="2418" spans="13:19" ht="16.5" customHeight="1" x14ac:dyDescent="0.2">
      <c r="M2418" s="29"/>
      <c r="N2418" s="29"/>
      <c r="O2418" s="29"/>
      <c r="P2418" s="29"/>
      <c r="Q2418" s="29"/>
      <c r="R2418" s="29"/>
      <c r="S2418" s="29"/>
    </row>
    <row r="2419" spans="13:19" ht="16.5" customHeight="1" x14ac:dyDescent="0.2">
      <c r="M2419" s="29"/>
      <c r="N2419" s="29"/>
      <c r="O2419" s="29"/>
      <c r="P2419" s="29"/>
      <c r="Q2419" s="29"/>
      <c r="R2419" s="29"/>
      <c r="S2419" s="29"/>
    </row>
    <row r="2420" spans="13:19" ht="16.5" customHeight="1" x14ac:dyDescent="0.2">
      <c r="M2420" s="29"/>
      <c r="N2420" s="29"/>
      <c r="O2420" s="29"/>
      <c r="P2420" s="29"/>
      <c r="Q2420" s="29"/>
      <c r="R2420" s="29"/>
      <c r="S2420" s="29"/>
    </row>
    <row r="2421" spans="13:19" ht="16.5" customHeight="1" x14ac:dyDescent="0.2">
      <c r="M2421" s="29"/>
      <c r="N2421" s="29"/>
      <c r="O2421" s="29"/>
      <c r="P2421" s="29"/>
      <c r="Q2421" s="29"/>
      <c r="R2421" s="29"/>
      <c r="S2421" s="29"/>
    </row>
    <row r="2422" spans="13:19" ht="16.5" customHeight="1" x14ac:dyDescent="0.2">
      <c r="M2422" s="29"/>
      <c r="N2422" s="29"/>
      <c r="O2422" s="29"/>
      <c r="P2422" s="29"/>
      <c r="Q2422" s="29"/>
      <c r="R2422" s="29"/>
      <c r="S2422" s="29"/>
    </row>
    <row r="2423" spans="13:19" ht="16.5" customHeight="1" x14ac:dyDescent="0.2">
      <c r="M2423" s="29"/>
      <c r="N2423" s="29"/>
      <c r="O2423" s="29"/>
      <c r="P2423" s="29"/>
      <c r="Q2423" s="29"/>
      <c r="R2423" s="29"/>
      <c r="S2423" s="29"/>
    </row>
    <row r="2424" spans="13:19" ht="16.5" customHeight="1" x14ac:dyDescent="0.2">
      <c r="M2424" s="29"/>
      <c r="N2424" s="29"/>
      <c r="O2424" s="29"/>
      <c r="P2424" s="29"/>
      <c r="Q2424" s="29"/>
      <c r="R2424" s="29"/>
      <c r="S2424" s="29"/>
    </row>
    <row r="2425" spans="13:19" ht="16.5" customHeight="1" x14ac:dyDescent="0.2">
      <c r="M2425" s="29"/>
      <c r="N2425" s="29"/>
      <c r="O2425" s="29"/>
      <c r="P2425" s="29"/>
      <c r="Q2425" s="29"/>
      <c r="R2425" s="29"/>
      <c r="S2425" s="29"/>
    </row>
    <row r="2426" spans="13:19" ht="16.5" customHeight="1" x14ac:dyDescent="0.2">
      <c r="M2426" s="29"/>
      <c r="N2426" s="29"/>
      <c r="O2426" s="29"/>
      <c r="P2426" s="29"/>
      <c r="Q2426" s="29"/>
      <c r="R2426" s="29"/>
      <c r="S2426" s="29"/>
    </row>
    <row r="2427" spans="13:19" ht="16.5" customHeight="1" x14ac:dyDescent="0.2">
      <c r="M2427" s="29"/>
      <c r="N2427" s="29"/>
      <c r="O2427" s="29"/>
      <c r="P2427" s="29"/>
      <c r="Q2427" s="29"/>
      <c r="R2427" s="29"/>
      <c r="S2427" s="29"/>
    </row>
    <row r="2428" spans="13:19" ht="16.5" customHeight="1" x14ac:dyDescent="0.2">
      <c r="M2428" s="29"/>
      <c r="N2428" s="29"/>
      <c r="O2428" s="29"/>
      <c r="P2428" s="29"/>
      <c r="Q2428" s="29"/>
      <c r="R2428" s="29"/>
      <c r="S2428" s="29"/>
    </row>
    <row r="2429" spans="13:19" ht="16.5" customHeight="1" x14ac:dyDescent="0.2">
      <c r="M2429" s="29"/>
      <c r="N2429" s="29"/>
      <c r="O2429" s="29"/>
      <c r="P2429" s="29"/>
      <c r="Q2429" s="29"/>
      <c r="R2429" s="29"/>
      <c r="S2429" s="29"/>
    </row>
    <row r="2430" spans="13:19" ht="16.5" customHeight="1" x14ac:dyDescent="0.2">
      <c r="M2430" s="29"/>
      <c r="N2430" s="29"/>
      <c r="O2430" s="29"/>
      <c r="P2430" s="29"/>
      <c r="Q2430" s="29"/>
      <c r="R2430" s="29"/>
      <c r="S2430" s="29"/>
    </row>
    <row r="2431" spans="13:19" ht="16.5" customHeight="1" x14ac:dyDescent="0.2">
      <c r="M2431" s="29"/>
      <c r="N2431" s="29"/>
      <c r="O2431" s="29"/>
      <c r="P2431" s="29"/>
      <c r="Q2431" s="29"/>
      <c r="R2431" s="29"/>
      <c r="S2431" s="29"/>
    </row>
    <row r="2432" spans="13:19" ht="16.5" customHeight="1" x14ac:dyDescent="0.2">
      <c r="M2432" s="29"/>
      <c r="N2432" s="29"/>
      <c r="O2432" s="29"/>
      <c r="P2432" s="29"/>
      <c r="Q2432" s="29"/>
      <c r="R2432" s="29"/>
      <c r="S2432" s="29"/>
    </row>
    <row r="2433" spans="13:19" ht="16.5" customHeight="1" x14ac:dyDescent="0.2">
      <c r="M2433" s="29"/>
      <c r="N2433" s="29"/>
      <c r="O2433" s="29"/>
      <c r="P2433" s="29"/>
      <c r="Q2433" s="29"/>
      <c r="R2433" s="29"/>
      <c r="S2433" s="29"/>
    </row>
    <row r="2434" spans="13:19" ht="16.5" customHeight="1" x14ac:dyDescent="0.2">
      <c r="M2434" s="29"/>
      <c r="N2434" s="29"/>
      <c r="O2434" s="29"/>
      <c r="P2434" s="29"/>
      <c r="Q2434" s="29"/>
      <c r="R2434" s="29"/>
      <c r="S2434" s="29"/>
    </row>
    <row r="2435" spans="13:19" ht="16.5" customHeight="1" x14ac:dyDescent="0.2">
      <c r="M2435" s="29"/>
      <c r="N2435" s="29"/>
      <c r="O2435" s="29"/>
      <c r="P2435" s="29"/>
      <c r="Q2435" s="29"/>
      <c r="R2435" s="29"/>
      <c r="S2435" s="29"/>
    </row>
    <row r="2436" spans="13:19" ht="16.5" customHeight="1" x14ac:dyDescent="0.2">
      <c r="M2436" s="29"/>
      <c r="N2436" s="29"/>
      <c r="O2436" s="29"/>
      <c r="P2436" s="29"/>
      <c r="Q2436" s="29"/>
      <c r="R2436" s="29"/>
      <c r="S2436" s="29"/>
    </row>
    <row r="2437" spans="13:19" ht="16.5" customHeight="1" x14ac:dyDescent="0.2">
      <c r="M2437" s="29"/>
      <c r="N2437" s="29"/>
      <c r="O2437" s="29"/>
      <c r="P2437" s="29"/>
      <c r="Q2437" s="29"/>
      <c r="R2437" s="29"/>
      <c r="S2437" s="29"/>
    </row>
    <row r="2438" spans="13:19" ht="16.5" customHeight="1" x14ac:dyDescent="0.2">
      <c r="M2438" s="29"/>
      <c r="N2438" s="29"/>
      <c r="O2438" s="29"/>
      <c r="P2438" s="29"/>
      <c r="Q2438" s="29"/>
      <c r="R2438" s="29"/>
      <c r="S2438" s="29"/>
    </row>
    <row r="2439" spans="13:19" ht="16.5" customHeight="1" x14ac:dyDescent="0.2">
      <c r="M2439" s="29"/>
      <c r="N2439" s="29"/>
      <c r="O2439" s="29"/>
      <c r="P2439" s="29"/>
      <c r="Q2439" s="29"/>
      <c r="R2439" s="29"/>
      <c r="S2439" s="29"/>
    </row>
    <row r="2440" spans="13:19" ht="16.5" customHeight="1" x14ac:dyDescent="0.2">
      <c r="M2440" s="29"/>
      <c r="N2440" s="29"/>
      <c r="O2440" s="29"/>
      <c r="P2440" s="29"/>
      <c r="Q2440" s="29"/>
      <c r="R2440" s="29"/>
      <c r="S2440" s="29"/>
    </row>
    <row r="2441" spans="13:19" ht="16.5" customHeight="1" x14ac:dyDescent="0.2">
      <c r="M2441" s="29"/>
      <c r="N2441" s="29"/>
      <c r="O2441" s="29"/>
      <c r="P2441" s="29"/>
      <c r="Q2441" s="29"/>
      <c r="R2441" s="29"/>
      <c r="S2441" s="29"/>
    </row>
    <row r="2442" spans="13:19" ht="16.5" customHeight="1" x14ac:dyDescent="0.2">
      <c r="M2442" s="29"/>
      <c r="N2442" s="29"/>
      <c r="O2442" s="29"/>
      <c r="P2442" s="29"/>
      <c r="Q2442" s="29"/>
      <c r="R2442" s="29"/>
      <c r="S2442" s="29"/>
    </row>
    <row r="2443" spans="13:19" ht="16.5" customHeight="1" x14ac:dyDescent="0.2">
      <c r="M2443" s="29"/>
      <c r="N2443" s="29"/>
      <c r="O2443" s="29"/>
      <c r="P2443" s="29"/>
      <c r="Q2443" s="29"/>
      <c r="R2443" s="29"/>
      <c r="S2443" s="29"/>
    </row>
    <row r="2444" spans="13:19" ht="16.5" customHeight="1" x14ac:dyDescent="0.2">
      <c r="M2444" s="29"/>
      <c r="N2444" s="29"/>
      <c r="O2444" s="29"/>
      <c r="P2444" s="29"/>
      <c r="Q2444" s="29"/>
      <c r="R2444" s="29"/>
      <c r="S2444" s="29"/>
    </row>
    <row r="2445" spans="13:19" ht="16.5" customHeight="1" x14ac:dyDescent="0.2">
      <c r="M2445" s="29"/>
      <c r="N2445" s="29"/>
      <c r="O2445" s="29"/>
      <c r="P2445" s="29"/>
      <c r="Q2445" s="29"/>
      <c r="R2445" s="29"/>
      <c r="S2445" s="29"/>
    </row>
    <row r="2446" spans="13:19" ht="16.5" customHeight="1" x14ac:dyDescent="0.2">
      <c r="M2446" s="29"/>
      <c r="N2446" s="29"/>
      <c r="O2446" s="29"/>
      <c r="P2446" s="29"/>
      <c r="Q2446" s="29"/>
      <c r="R2446" s="29"/>
      <c r="S2446" s="29"/>
    </row>
    <row r="2447" spans="13:19" ht="16.5" customHeight="1" x14ac:dyDescent="0.2">
      <c r="M2447" s="29"/>
      <c r="N2447" s="29"/>
      <c r="O2447" s="29"/>
      <c r="P2447" s="29"/>
      <c r="Q2447" s="29"/>
      <c r="R2447" s="29"/>
      <c r="S2447" s="29"/>
    </row>
    <row r="2448" spans="13:19" ht="16.5" customHeight="1" x14ac:dyDescent="0.2">
      <c r="M2448" s="29"/>
      <c r="N2448" s="29"/>
      <c r="O2448" s="29"/>
      <c r="P2448" s="29"/>
      <c r="Q2448" s="29"/>
      <c r="R2448" s="29"/>
      <c r="S2448" s="29"/>
    </row>
    <row r="2449" spans="13:19" ht="16.5" customHeight="1" x14ac:dyDescent="0.2">
      <c r="M2449" s="29"/>
      <c r="N2449" s="29"/>
      <c r="O2449" s="29"/>
      <c r="P2449" s="29"/>
      <c r="Q2449" s="29"/>
      <c r="R2449" s="29"/>
      <c r="S2449" s="29"/>
    </row>
    <row r="2450" spans="13:19" ht="16.5" customHeight="1" x14ac:dyDescent="0.2">
      <c r="M2450" s="29"/>
      <c r="N2450" s="29"/>
      <c r="O2450" s="29"/>
      <c r="P2450" s="29"/>
      <c r="Q2450" s="29"/>
      <c r="R2450" s="29"/>
      <c r="S2450" s="29"/>
    </row>
    <row r="2451" spans="13:19" ht="16.5" customHeight="1" x14ac:dyDescent="0.2">
      <c r="M2451" s="29"/>
      <c r="N2451" s="29"/>
      <c r="O2451" s="29"/>
      <c r="P2451" s="29"/>
      <c r="Q2451" s="29"/>
      <c r="R2451" s="29"/>
      <c r="S2451" s="29"/>
    </row>
    <row r="2452" spans="13:19" ht="16.5" customHeight="1" x14ac:dyDescent="0.2">
      <c r="M2452" s="29"/>
      <c r="N2452" s="29"/>
      <c r="O2452" s="29"/>
      <c r="P2452" s="29"/>
      <c r="Q2452" s="29"/>
      <c r="R2452" s="29"/>
      <c r="S2452" s="29"/>
    </row>
    <row r="2453" spans="13:19" ht="16.5" customHeight="1" x14ac:dyDescent="0.2">
      <c r="M2453" s="29"/>
      <c r="N2453" s="29"/>
      <c r="O2453" s="29"/>
      <c r="P2453" s="29"/>
      <c r="Q2453" s="29"/>
      <c r="R2453" s="29"/>
      <c r="S2453" s="29"/>
    </row>
    <row r="2454" spans="13:19" ht="16.5" customHeight="1" x14ac:dyDescent="0.2">
      <c r="M2454" s="29"/>
      <c r="N2454" s="29"/>
      <c r="O2454" s="29"/>
      <c r="P2454" s="29"/>
      <c r="Q2454" s="29"/>
      <c r="R2454" s="29"/>
      <c r="S2454" s="29"/>
    </row>
    <row r="2455" spans="13:19" ht="16.5" customHeight="1" x14ac:dyDescent="0.2">
      <c r="M2455" s="29"/>
      <c r="N2455" s="29"/>
      <c r="O2455" s="29"/>
      <c r="P2455" s="29"/>
      <c r="Q2455" s="29"/>
      <c r="R2455" s="29"/>
      <c r="S2455" s="29"/>
    </row>
    <row r="2456" spans="13:19" ht="16.5" customHeight="1" x14ac:dyDescent="0.2">
      <c r="M2456" s="29"/>
      <c r="N2456" s="29"/>
      <c r="O2456" s="29"/>
      <c r="P2456" s="29"/>
      <c r="Q2456" s="29"/>
      <c r="R2456" s="29"/>
      <c r="S2456" s="29"/>
    </row>
    <row r="2457" spans="13:19" ht="16.5" customHeight="1" x14ac:dyDescent="0.2">
      <c r="M2457" s="29"/>
      <c r="N2457" s="29"/>
      <c r="O2457" s="29"/>
      <c r="P2457" s="29"/>
      <c r="Q2457" s="29"/>
      <c r="R2457" s="29"/>
      <c r="S2457" s="29"/>
    </row>
    <row r="2458" spans="13:19" ht="16.5" customHeight="1" x14ac:dyDescent="0.2">
      <c r="M2458" s="29"/>
      <c r="N2458" s="29"/>
      <c r="O2458" s="29"/>
      <c r="P2458" s="29"/>
      <c r="Q2458" s="29"/>
      <c r="R2458" s="29"/>
      <c r="S2458" s="29"/>
    </row>
    <row r="2459" spans="13:19" ht="16.5" customHeight="1" x14ac:dyDescent="0.2">
      <c r="M2459" s="29"/>
      <c r="N2459" s="29"/>
      <c r="O2459" s="29"/>
      <c r="P2459" s="29"/>
      <c r="Q2459" s="29"/>
      <c r="R2459" s="29"/>
      <c r="S2459" s="29"/>
    </row>
    <row r="2460" spans="13:19" ht="16.5" customHeight="1" x14ac:dyDescent="0.2">
      <c r="M2460" s="29"/>
      <c r="N2460" s="29"/>
      <c r="O2460" s="29"/>
      <c r="P2460" s="29"/>
      <c r="Q2460" s="29"/>
      <c r="R2460" s="29"/>
      <c r="S2460" s="29"/>
    </row>
    <row r="2461" spans="13:19" ht="16.5" customHeight="1" x14ac:dyDescent="0.2">
      <c r="M2461" s="29"/>
      <c r="N2461" s="29"/>
      <c r="O2461" s="29"/>
      <c r="P2461" s="29"/>
      <c r="Q2461" s="29"/>
      <c r="R2461" s="29"/>
      <c r="S2461" s="29"/>
    </row>
    <row r="2462" spans="13:19" ht="16.5" customHeight="1" x14ac:dyDescent="0.2">
      <c r="M2462" s="29"/>
      <c r="N2462" s="29"/>
      <c r="O2462" s="29"/>
      <c r="P2462" s="29"/>
      <c r="Q2462" s="29"/>
      <c r="R2462" s="29"/>
      <c r="S2462" s="29"/>
    </row>
    <row r="2463" spans="13:19" ht="16.5" customHeight="1" x14ac:dyDescent="0.2">
      <c r="M2463" s="29"/>
      <c r="N2463" s="29"/>
      <c r="O2463" s="29"/>
      <c r="P2463" s="29"/>
      <c r="Q2463" s="29"/>
      <c r="R2463" s="29"/>
      <c r="S2463" s="29"/>
    </row>
    <row r="2464" spans="13:19" ht="16.5" customHeight="1" x14ac:dyDescent="0.2">
      <c r="M2464" s="29"/>
      <c r="N2464" s="29"/>
      <c r="O2464" s="29"/>
      <c r="P2464" s="29"/>
      <c r="Q2464" s="29"/>
      <c r="R2464" s="29"/>
      <c r="S2464" s="29"/>
    </row>
    <row r="2465" spans="13:19" ht="16.5" customHeight="1" x14ac:dyDescent="0.2">
      <c r="M2465" s="29"/>
      <c r="N2465" s="29"/>
      <c r="O2465" s="29"/>
      <c r="P2465" s="29"/>
      <c r="Q2465" s="29"/>
      <c r="R2465" s="29"/>
      <c r="S2465" s="29"/>
    </row>
    <row r="2466" spans="13:19" ht="16.5" customHeight="1" x14ac:dyDescent="0.2">
      <c r="M2466" s="29"/>
      <c r="N2466" s="29"/>
      <c r="O2466" s="29"/>
      <c r="P2466" s="29"/>
      <c r="Q2466" s="29"/>
      <c r="R2466" s="29"/>
      <c r="S2466" s="29"/>
    </row>
    <row r="2467" spans="13:19" ht="16.5" customHeight="1" x14ac:dyDescent="0.2">
      <c r="M2467" s="29"/>
      <c r="N2467" s="29"/>
      <c r="O2467" s="29"/>
      <c r="P2467" s="29"/>
      <c r="Q2467" s="29"/>
      <c r="R2467" s="29"/>
      <c r="S2467" s="29"/>
    </row>
    <row r="2468" spans="13:19" ht="16.5" customHeight="1" x14ac:dyDescent="0.2">
      <c r="M2468" s="29"/>
      <c r="N2468" s="29"/>
      <c r="O2468" s="29"/>
      <c r="P2468" s="29"/>
      <c r="Q2468" s="29"/>
      <c r="R2468" s="29"/>
      <c r="S2468" s="29"/>
    </row>
    <row r="2469" spans="13:19" ht="16.5" customHeight="1" x14ac:dyDescent="0.2">
      <c r="M2469" s="29"/>
      <c r="N2469" s="29"/>
      <c r="O2469" s="29"/>
      <c r="P2469" s="29"/>
      <c r="Q2469" s="29"/>
      <c r="R2469" s="29"/>
      <c r="S2469" s="29"/>
    </row>
    <row r="2470" spans="13:19" ht="16.5" customHeight="1" x14ac:dyDescent="0.2">
      <c r="M2470" s="29"/>
      <c r="N2470" s="29"/>
      <c r="O2470" s="29"/>
      <c r="P2470" s="29"/>
      <c r="Q2470" s="29"/>
      <c r="R2470" s="29"/>
      <c r="S2470" s="29"/>
    </row>
    <row r="2471" spans="13:19" ht="16.5" customHeight="1" x14ac:dyDescent="0.2">
      <c r="M2471" s="29"/>
      <c r="N2471" s="29"/>
      <c r="O2471" s="29"/>
      <c r="P2471" s="29"/>
      <c r="Q2471" s="29"/>
      <c r="R2471" s="29"/>
      <c r="S2471" s="29"/>
    </row>
    <row r="2472" spans="13:19" ht="16.5" customHeight="1" x14ac:dyDescent="0.2">
      <c r="M2472" s="29"/>
      <c r="N2472" s="29"/>
      <c r="O2472" s="29"/>
      <c r="P2472" s="29"/>
      <c r="Q2472" s="29"/>
      <c r="R2472" s="29"/>
      <c r="S2472" s="29"/>
    </row>
    <row r="2473" spans="13:19" ht="16.5" customHeight="1" x14ac:dyDescent="0.2">
      <c r="M2473" s="29"/>
      <c r="N2473" s="29"/>
      <c r="O2473" s="29"/>
      <c r="P2473" s="29"/>
      <c r="Q2473" s="29"/>
      <c r="R2473" s="29"/>
      <c r="S2473" s="29"/>
    </row>
    <row r="2474" spans="13:19" ht="16.5" customHeight="1" x14ac:dyDescent="0.2">
      <c r="M2474" s="29"/>
      <c r="N2474" s="29"/>
      <c r="O2474" s="29"/>
      <c r="P2474" s="29"/>
      <c r="Q2474" s="29"/>
      <c r="R2474" s="29"/>
      <c r="S2474" s="29"/>
    </row>
    <row r="2475" spans="13:19" ht="16.5" customHeight="1" x14ac:dyDescent="0.2">
      <c r="M2475" s="29"/>
      <c r="N2475" s="29"/>
      <c r="O2475" s="29"/>
      <c r="P2475" s="29"/>
      <c r="Q2475" s="29"/>
      <c r="R2475" s="29"/>
      <c r="S2475" s="29"/>
    </row>
    <row r="2476" spans="13:19" ht="16.5" customHeight="1" x14ac:dyDescent="0.2">
      <c r="M2476" s="29"/>
      <c r="N2476" s="29"/>
      <c r="O2476" s="29"/>
      <c r="P2476" s="29"/>
      <c r="Q2476" s="29"/>
      <c r="R2476" s="29"/>
      <c r="S2476" s="29"/>
    </row>
    <row r="2477" spans="13:19" ht="16.5" customHeight="1" x14ac:dyDescent="0.2">
      <c r="M2477" s="29"/>
      <c r="N2477" s="29"/>
      <c r="O2477" s="29"/>
      <c r="P2477" s="29"/>
      <c r="Q2477" s="29"/>
      <c r="R2477" s="29"/>
      <c r="S2477" s="29"/>
    </row>
    <row r="2478" spans="13:19" ht="16.5" customHeight="1" x14ac:dyDescent="0.2">
      <c r="M2478" s="29"/>
      <c r="N2478" s="29"/>
      <c r="O2478" s="29"/>
      <c r="P2478" s="29"/>
      <c r="Q2478" s="29"/>
      <c r="R2478" s="29"/>
      <c r="S2478" s="29"/>
    </row>
    <row r="2479" spans="13:19" ht="16.5" customHeight="1" x14ac:dyDescent="0.2">
      <c r="M2479" s="29"/>
      <c r="N2479" s="29"/>
      <c r="O2479" s="29"/>
      <c r="P2479" s="29"/>
      <c r="Q2479" s="29"/>
      <c r="R2479" s="29"/>
      <c r="S2479" s="29"/>
    </row>
    <row r="2480" spans="13:19" ht="16.5" customHeight="1" x14ac:dyDescent="0.2">
      <c r="M2480" s="29"/>
      <c r="N2480" s="29"/>
      <c r="O2480" s="29"/>
      <c r="P2480" s="29"/>
      <c r="Q2480" s="29"/>
      <c r="R2480" s="29"/>
      <c r="S2480" s="29"/>
    </row>
    <row r="2481" spans="13:19" ht="16.5" customHeight="1" x14ac:dyDescent="0.2">
      <c r="M2481" s="29"/>
      <c r="N2481" s="29"/>
      <c r="O2481" s="29"/>
      <c r="P2481" s="29"/>
      <c r="Q2481" s="29"/>
      <c r="R2481" s="29"/>
      <c r="S2481" s="29"/>
    </row>
    <row r="2482" spans="13:19" ht="16.5" customHeight="1" x14ac:dyDescent="0.2">
      <c r="M2482" s="29"/>
      <c r="N2482" s="29"/>
      <c r="O2482" s="29"/>
      <c r="P2482" s="29"/>
      <c r="Q2482" s="29"/>
      <c r="R2482" s="29"/>
      <c r="S2482" s="29"/>
    </row>
    <row r="2483" spans="13:19" ht="16.5" customHeight="1" x14ac:dyDescent="0.2">
      <c r="M2483" s="29"/>
      <c r="N2483" s="29"/>
      <c r="O2483" s="29"/>
      <c r="P2483" s="29"/>
      <c r="Q2483" s="29"/>
      <c r="R2483" s="29"/>
      <c r="S2483" s="29"/>
    </row>
    <row r="2484" spans="13:19" ht="16.5" customHeight="1" x14ac:dyDescent="0.2">
      <c r="M2484" s="29"/>
      <c r="N2484" s="29"/>
      <c r="O2484" s="29"/>
      <c r="P2484" s="29"/>
      <c r="Q2484" s="29"/>
      <c r="R2484" s="29"/>
      <c r="S2484" s="29"/>
    </row>
    <row r="2485" spans="13:19" ht="16.5" customHeight="1" x14ac:dyDescent="0.2">
      <c r="M2485" s="29"/>
      <c r="N2485" s="29"/>
      <c r="O2485" s="29"/>
      <c r="P2485" s="29"/>
      <c r="Q2485" s="29"/>
      <c r="R2485" s="29"/>
      <c r="S2485" s="29"/>
    </row>
    <row r="2486" spans="13:19" ht="16.5" customHeight="1" x14ac:dyDescent="0.2">
      <c r="M2486" s="29"/>
      <c r="N2486" s="29"/>
      <c r="O2486" s="29"/>
      <c r="P2486" s="29"/>
      <c r="Q2486" s="29"/>
      <c r="R2486" s="29"/>
      <c r="S2486" s="29"/>
    </row>
    <row r="2487" spans="13:19" ht="16.5" customHeight="1" x14ac:dyDescent="0.2">
      <c r="M2487" s="29"/>
      <c r="N2487" s="29"/>
      <c r="O2487" s="29"/>
      <c r="P2487" s="29"/>
      <c r="Q2487" s="29"/>
      <c r="R2487" s="29"/>
      <c r="S2487" s="29"/>
    </row>
    <row r="2488" spans="13:19" ht="16.5" customHeight="1" x14ac:dyDescent="0.2">
      <c r="M2488" s="29"/>
      <c r="N2488" s="29"/>
      <c r="O2488" s="29"/>
      <c r="P2488" s="29"/>
      <c r="Q2488" s="29"/>
      <c r="R2488" s="29"/>
      <c r="S2488" s="29"/>
    </row>
    <row r="2489" spans="13:19" ht="16.5" customHeight="1" x14ac:dyDescent="0.2">
      <c r="M2489" s="29"/>
      <c r="N2489" s="29"/>
      <c r="O2489" s="29"/>
      <c r="P2489" s="29"/>
      <c r="Q2489" s="29"/>
      <c r="R2489" s="29"/>
      <c r="S2489" s="29"/>
    </row>
    <row r="2490" spans="13:19" ht="16.5" customHeight="1" x14ac:dyDescent="0.2">
      <c r="M2490" s="29"/>
      <c r="N2490" s="29"/>
      <c r="O2490" s="29"/>
      <c r="P2490" s="29"/>
      <c r="Q2490" s="29"/>
      <c r="R2490" s="29"/>
      <c r="S2490" s="29"/>
    </row>
    <row r="2491" spans="13:19" ht="16.5" customHeight="1" x14ac:dyDescent="0.2">
      <c r="M2491" s="29"/>
      <c r="N2491" s="29"/>
      <c r="O2491" s="29"/>
      <c r="P2491" s="29"/>
      <c r="Q2491" s="29"/>
      <c r="R2491" s="29"/>
      <c r="S2491" s="29"/>
    </row>
    <row r="2492" spans="13:19" ht="16.5" customHeight="1" x14ac:dyDescent="0.2">
      <c r="M2492" s="29"/>
      <c r="N2492" s="29"/>
      <c r="O2492" s="29"/>
      <c r="P2492" s="29"/>
      <c r="Q2492" s="29"/>
      <c r="R2492" s="29"/>
      <c r="S2492" s="29"/>
    </row>
    <row r="2493" spans="13:19" ht="16.5" customHeight="1" x14ac:dyDescent="0.2">
      <c r="M2493" s="29"/>
      <c r="N2493" s="29"/>
      <c r="O2493" s="29"/>
      <c r="P2493" s="29"/>
      <c r="Q2493" s="29"/>
      <c r="R2493" s="29"/>
      <c r="S2493" s="29"/>
    </row>
    <row r="2494" spans="13:19" ht="16.5" customHeight="1" x14ac:dyDescent="0.2">
      <c r="M2494" s="29"/>
      <c r="N2494" s="29"/>
      <c r="O2494" s="29"/>
      <c r="P2494" s="29"/>
      <c r="Q2494" s="29"/>
      <c r="R2494" s="29"/>
      <c r="S2494" s="29"/>
    </row>
    <row r="2495" spans="13:19" ht="16.5" customHeight="1" x14ac:dyDescent="0.2">
      <c r="M2495" s="29"/>
      <c r="N2495" s="29"/>
      <c r="O2495" s="29"/>
      <c r="P2495" s="29"/>
      <c r="Q2495" s="29"/>
      <c r="R2495" s="29"/>
      <c r="S2495" s="29"/>
    </row>
    <row r="2496" spans="13:19" ht="16.5" customHeight="1" x14ac:dyDescent="0.2">
      <c r="M2496" s="29"/>
      <c r="N2496" s="29"/>
      <c r="O2496" s="29"/>
      <c r="P2496" s="29"/>
      <c r="Q2496" s="29"/>
      <c r="R2496" s="29"/>
      <c r="S2496" s="29"/>
    </row>
    <row r="2497" spans="13:19" ht="16.5" customHeight="1" x14ac:dyDescent="0.2">
      <c r="M2497" s="29"/>
      <c r="N2497" s="29"/>
      <c r="O2497" s="29"/>
      <c r="P2497" s="29"/>
      <c r="Q2497" s="29"/>
      <c r="R2497" s="29"/>
      <c r="S2497" s="29"/>
    </row>
    <row r="2498" spans="13:19" ht="16.5" customHeight="1" x14ac:dyDescent="0.2">
      <c r="M2498" s="29"/>
      <c r="N2498" s="29"/>
      <c r="O2498" s="29"/>
      <c r="P2498" s="29"/>
      <c r="Q2498" s="29"/>
      <c r="R2498" s="29"/>
      <c r="S2498" s="29"/>
    </row>
    <row r="2499" spans="13:19" ht="16.5" customHeight="1" x14ac:dyDescent="0.2">
      <c r="M2499" s="29"/>
      <c r="N2499" s="29"/>
      <c r="O2499" s="29"/>
      <c r="P2499" s="29"/>
      <c r="Q2499" s="29"/>
      <c r="R2499" s="29"/>
      <c r="S2499" s="29"/>
    </row>
    <row r="2500" spans="13:19" ht="16.5" customHeight="1" x14ac:dyDescent="0.2">
      <c r="M2500" s="29"/>
      <c r="N2500" s="29"/>
      <c r="O2500" s="29"/>
      <c r="P2500" s="29"/>
      <c r="Q2500" s="29"/>
      <c r="R2500" s="29"/>
      <c r="S2500" s="29"/>
    </row>
    <row r="2501" spans="13:19" ht="16.5" customHeight="1" x14ac:dyDescent="0.2">
      <c r="M2501" s="29"/>
      <c r="N2501" s="29"/>
      <c r="O2501" s="29"/>
      <c r="P2501" s="29"/>
      <c r="Q2501" s="29"/>
      <c r="R2501" s="29"/>
      <c r="S2501" s="29"/>
    </row>
    <row r="2502" spans="13:19" ht="16.5" customHeight="1" x14ac:dyDescent="0.2">
      <c r="M2502" s="29"/>
      <c r="N2502" s="29"/>
      <c r="O2502" s="29"/>
      <c r="P2502" s="29"/>
      <c r="Q2502" s="29"/>
      <c r="R2502" s="29"/>
      <c r="S2502" s="29"/>
    </row>
    <row r="2503" spans="13:19" ht="16.5" customHeight="1" x14ac:dyDescent="0.2">
      <c r="M2503" s="29"/>
      <c r="N2503" s="29"/>
      <c r="O2503" s="29"/>
      <c r="P2503" s="29"/>
      <c r="Q2503" s="29"/>
      <c r="R2503" s="29"/>
      <c r="S2503" s="29"/>
    </row>
    <row r="2504" spans="13:19" ht="16.5" customHeight="1" x14ac:dyDescent="0.2">
      <c r="M2504" s="29"/>
      <c r="N2504" s="29"/>
      <c r="O2504" s="29"/>
      <c r="P2504" s="29"/>
      <c r="Q2504" s="29"/>
      <c r="R2504" s="29"/>
      <c r="S2504" s="29"/>
    </row>
    <row r="2505" spans="13:19" ht="16.5" customHeight="1" x14ac:dyDescent="0.2">
      <c r="M2505" s="29"/>
      <c r="N2505" s="29"/>
      <c r="O2505" s="29"/>
      <c r="P2505" s="29"/>
      <c r="Q2505" s="29"/>
      <c r="R2505" s="29"/>
      <c r="S2505" s="29"/>
    </row>
    <row r="2506" spans="13:19" ht="16.5" customHeight="1" x14ac:dyDescent="0.2">
      <c r="M2506" s="29"/>
      <c r="N2506" s="29"/>
      <c r="O2506" s="29"/>
      <c r="P2506" s="29"/>
      <c r="Q2506" s="29"/>
      <c r="R2506" s="29"/>
      <c r="S2506" s="29"/>
    </row>
    <row r="2507" spans="13:19" ht="16.5" customHeight="1" x14ac:dyDescent="0.2">
      <c r="M2507" s="29"/>
      <c r="N2507" s="29"/>
      <c r="O2507" s="29"/>
      <c r="P2507" s="29"/>
      <c r="Q2507" s="29"/>
      <c r="R2507" s="29"/>
      <c r="S2507" s="29"/>
    </row>
    <row r="2508" spans="13:19" ht="16.5" customHeight="1" x14ac:dyDescent="0.2">
      <c r="M2508" s="29"/>
      <c r="N2508" s="29"/>
      <c r="O2508" s="29"/>
      <c r="P2508" s="29"/>
      <c r="Q2508" s="29"/>
      <c r="R2508" s="29"/>
      <c r="S2508" s="29"/>
    </row>
    <row r="2509" spans="13:19" ht="16.5" customHeight="1" x14ac:dyDescent="0.2">
      <c r="M2509" s="29"/>
      <c r="N2509" s="29"/>
      <c r="O2509" s="29"/>
      <c r="P2509" s="29"/>
      <c r="Q2509" s="29"/>
      <c r="R2509" s="29"/>
      <c r="S2509" s="29"/>
    </row>
    <row r="2510" spans="13:19" ht="16.5" customHeight="1" x14ac:dyDescent="0.2">
      <c r="M2510" s="29"/>
      <c r="N2510" s="29"/>
      <c r="O2510" s="29"/>
      <c r="P2510" s="29"/>
      <c r="Q2510" s="29"/>
      <c r="R2510" s="29"/>
      <c r="S2510" s="29"/>
    </row>
    <row r="2511" spans="13:19" ht="16.5" customHeight="1" x14ac:dyDescent="0.2">
      <c r="M2511" s="29"/>
      <c r="N2511" s="29"/>
      <c r="O2511" s="29"/>
      <c r="P2511" s="29"/>
      <c r="Q2511" s="29"/>
      <c r="R2511" s="29"/>
      <c r="S2511" s="29"/>
    </row>
    <row r="2512" spans="13:19" ht="16.5" customHeight="1" x14ac:dyDescent="0.2">
      <c r="M2512" s="29"/>
      <c r="N2512" s="29"/>
      <c r="O2512" s="29"/>
      <c r="P2512" s="29"/>
      <c r="Q2512" s="29"/>
      <c r="R2512" s="29"/>
      <c r="S2512" s="29"/>
    </row>
    <row r="2513" spans="13:19" ht="16.5" customHeight="1" x14ac:dyDescent="0.2">
      <c r="M2513" s="29"/>
      <c r="N2513" s="29"/>
      <c r="O2513" s="29"/>
      <c r="P2513" s="29"/>
      <c r="Q2513" s="29"/>
      <c r="R2513" s="29"/>
      <c r="S2513" s="29"/>
    </row>
    <row r="2514" spans="13:19" ht="16.5" customHeight="1" x14ac:dyDescent="0.2">
      <c r="M2514" s="29"/>
      <c r="N2514" s="29"/>
      <c r="O2514" s="29"/>
      <c r="P2514" s="29"/>
      <c r="Q2514" s="29"/>
      <c r="R2514" s="29"/>
      <c r="S2514" s="29"/>
    </row>
    <row r="2515" spans="13:19" ht="16.5" customHeight="1" x14ac:dyDescent="0.2">
      <c r="M2515" s="29"/>
      <c r="N2515" s="29"/>
      <c r="O2515" s="29"/>
      <c r="P2515" s="29"/>
      <c r="Q2515" s="29"/>
      <c r="R2515" s="29"/>
      <c r="S2515" s="29"/>
    </row>
    <row r="2516" spans="13:19" ht="16.5" customHeight="1" x14ac:dyDescent="0.2">
      <c r="M2516" s="29"/>
      <c r="N2516" s="29"/>
      <c r="O2516" s="29"/>
      <c r="P2516" s="29"/>
      <c r="Q2516" s="29"/>
      <c r="R2516" s="29"/>
      <c r="S2516" s="29"/>
    </row>
    <row r="2517" spans="13:19" ht="16.5" customHeight="1" x14ac:dyDescent="0.2">
      <c r="M2517" s="29"/>
      <c r="N2517" s="29"/>
      <c r="O2517" s="29"/>
      <c r="P2517" s="29"/>
      <c r="Q2517" s="29"/>
      <c r="R2517" s="29"/>
      <c r="S2517" s="29"/>
    </row>
    <row r="2518" spans="13:19" ht="16.5" customHeight="1" x14ac:dyDescent="0.2">
      <c r="M2518" s="29"/>
      <c r="N2518" s="29"/>
      <c r="O2518" s="29"/>
      <c r="P2518" s="29"/>
      <c r="Q2518" s="29"/>
      <c r="R2518" s="29"/>
      <c r="S2518" s="29"/>
    </row>
    <row r="2519" spans="13:19" ht="16.5" customHeight="1" x14ac:dyDescent="0.2">
      <c r="M2519" s="29"/>
      <c r="N2519" s="29"/>
      <c r="O2519" s="29"/>
      <c r="P2519" s="29"/>
      <c r="Q2519" s="29"/>
      <c r="R2519" s="29"/>
      <c r="S2519" s="29"/>
    </row>
    <row r="2520" spans="13:19" ht="16.5" customHeight="1" x14ac:dyDescent="0.2">
      <c r="M2520" s="29"/>
      <c r="N2520" s="29"/>
      <c r="O2520" s="29"/>
      <c r="P2520" s="29"/>
      <c r="Q2520" s="29"/>
      <c r="R2520" s="29"/>
      <c r="S2520" s="29"/>
    </row>
    <row r="2521" spans="13:19" ht="16.5" customHeight="1" x14ac:dyDescent="0.2">
      <c r="M2521" s="29"/>
      <c r="N2521" s="29"/>
      <c r="O2521" s="29"/>
      <c r="P2521" s="29"/>
      <c r="Q2521" s="29"/>
      <c r="R2521" s="29"/>
      <c r="S2521" s="29"/>
    </row>
    <row r="2522" spans="13:19" ht="16.5" customHeight="1" x14ac:dyDescent="0.2">
      <c r="M2522" s="29"/>
      <c r="N2522" s="29"/>
      <c r="O2522" s="29"/>
      <c r="P2522" s="29"/>
      <c r="Q2522" s="29"/>
      <c r="R2522" s="29"/>
      <c r="S2522" s="29"/>
    </row>
    <row r="2523" spans="13:19" ht="16.5" customHeight="1" x14ac:dyDescent="0.2">
      <c r="M2523" s="29"/>
      <c r="N2523" s="29"/>
      <c r="O2523" s="29"/>
      <c r="P2523" s="29"/>
      <c r="Q2523" s="29"/>
      <c r="R2523" s="29"/>
      <c r="S2523" s="29"/>
    </row>
    <row r="2524" spans="13:19" ht="16.5" customHeight="1" x14ac:dyDescent="0.2">
      <c r="M2524" s="29"/>
      <c r="N2524" s="29"/>
      <c r="O2524" s="29"/>
      <c r="P2524" s="29"/>
      <c r="Q2524" s="29"/>
      <c r="R2524" s="29"/>
      <c r="S2524" s="29"/>
    </row>
    <row r="2525" spans="13:19" ht="16.5" customHeight="1" x14ac:dyDescent="0.2">
      <c r="M2525" s="29"/>
      <c r="N2525" s="29"/>
      <c r="O2525" s="29"/>
      <c r="P2525" s="29"/>
      <c r="Q2525" s="29"/>
      <c r="R2525" s="29"/>
      <c r="S2525" s="29"/>
    </row>
    <row r="2526" spans="13:19" ht="16.5" customHeight="1" x14ac:dyDescent="0.2">
      <c r="M2526" s="29"/>
      <c r="N2526" s="29"/>
      <c r="O2526" s="29"/>
      <c r="P2526" s="29"/>
      <c r="Q2526" s="29"/>
      <c r="R2526" s="29"/>
      <c r="S2526" s="29"/>
    </row>
    <row r="2527" spans="13:19" ht="16.5" customHeight="1" x14ac:dyDescent="0.2">
      <c r="M2527" s="29"/>
      <c r="N2527" s="29"/>
      <c r="O2527" s="29"/>
      <c r="P2527" s="29"/>
      <c r="Q2527" s="29"/>
      <c r="R2527" s="29"/>
      <c r="S2527" s="29"/>
    </row>
    <row r="2528" spans="13:19" ht="16.5" customHeight="1" x14ac:dyDescent="0.2">
      <c r="M2528" s="29"/>
      <c r="N2528" s="29"/>
      <c r="O2528" s="29"/>
      <c r="P2528" s="29"/>
      <c r="Q2528" s="29"/>
      <c r="R2528" s="29"/>
      <c r="S2528" s="29"/>
    </row>
    <row r="2529" spans="13:19" ht="16.5" customHeight="1" x14ac:dyDescent="0.2">
      <c r="M2529" s="29"/>
      <c r="N2529" s="29"/>
      <c r="O2529" s="29"/>
      <c r="P2529" s="29"/>
      <c r="Q2529" s="29"/>
      <c r="R2529" s="29"/>
      <c r="S2529" s="29"/>
    </row>
    <row r="2530" spans="13:19" ht="16.5" customHeight="1" x14ac:dyDescent="0.2">
      <c r="M2530" s="29"/>
      <c r="N2530" s="29"/>
      <c r="O2530" s="29"/>
      <c r="P2530" s="29"/>
      <c r="Q2530" s="29"/>
      <c r="R2530" s="29"/>
      <c r="S2530" s="29"/>
    </row>
    <row r="2531" spans="13:19" ht="16.5" customHeight="1" x14ac:dyDescent="0.2">
      <c r="M2531" s="29"/>
      <c r="N2531" s="29"/>
      <c r="O2531" s="29"/>
      <c r="P2531" s="29"/>
      <c r="Q2531" s="29"/>
      <c r="R2531" s="29"/>
      <c r="S2531" s="29"/>
    </row>
    <row r="2532" spans="13:19" ht="16.5" customHeight="1" x14ac:dyDescent="0.2">
      <c r="M2532" s="29"/>
      <c r="N2532" s="29"/>
      <c r="O2532" s="29"/>
      <c r="P2532" s="29"/>
      <c r="Q2532" s="29"/>
      <c r="R2532" s="29"/>
      <c r="S2532" s="29"/>
    </row>
    <row r="2533" spans="13:19" ht="16.5" customHeight="1" x14ac:dyDescent="0.2">
      <c r="M2533" s="29"/>
      <c r="N2533" s="29"/>
      <c r="O2533" s="29"/>
      <c r="P2533" s="29"/>
      <c r="Q2533" s="29"/>
      <c r="R2533" s="29"/>
      <c r="S2533" s="29"/>
    </row>
    <row r="2534" spans="13:19" ht="16.5" customHeight="1" x14ac:dyDescent="0.2">
      <c r="M2534" s="29"/>
      <c r="N2534" s="29"/>
      <c r="O2534" s="29"/>
      <c r="P2534" s="29"/>
      <c r="Q2534" s="29"/>
      <c r="R2534" s="29"/>
      <c r="S2534" s="29"/>
    </row>
    <row r="2535" spans="13:19" ht="16.5" customHeight="1" x14ac:dyDescent="0.2">
      <c r="M2535" s="29"/>
      <c r="N2535" s="29"/>
      <c r="O2535" s="29"/>
      <c r="P2535" s="29"/>
      <c r="Q2535" s="29"/>
      <c r="R2535" s="29"/>
      <c r="S2535" s="29"/>
    </row>
    <row r="2536" spans="13:19" ht="16.5" customHeight="1" x14ac:dyDescent="0.2">
      <c r="M2536" s="29"/>
      <c r="N2536" s="29"/>
      <c r="O2536" s="29"/>
      <c r="P2536" s="29"/>
      <c r="Q2536" s="29"/>
      <c r="R2536" s="29"/>
      <c r="S2536" s="29"/>
    </row>
    <row r="2537" spans="13:19" ht="16.5" customHeight="1" x14ac:dyDescent="0.2">
      <c r="M2537" s="29"/>
      <c r="N2537" s="29"/>
      <c r="O2537" s="29"/>
      <c r="P2537" s="29"/>
      <c r="Q2537" s="29"/>
      <c r="R2537" s="29"/>
      <c r="S2537" s="29"/>
    </row>
    <row r="2538" spans="13:19" ht="16.5" customHeight="1" x14ac:dyDescent="0.2">
      <c r="M2538" s="29"/>
      <c r="N2538" s="29"/>
      <c r="O2538" s="29"/>
      <c r="P2538" s="29"/>
      <c r="Q2538" s="29"/>
      <c r="R2538" s="29"/>
      <c r="S2538" s="29"/>
    </row>
    <row r="2539" spans="13:19" ht="16.5" customHeight="1" x14ac:dyDescent="0.2">
      <c r="M2539" s="29"/>
      <c r="N2539" s="29"/>
      <c r="O2539" s="29"/>
      <c r="P2539" s="29"/>
      <c r="Q2539" s="29"/>
      <c r="R2539" s="29"/>
      <c r="S2539" s="29"/>
    </row>
    <row r="2540" spans="13:19" ht="16.5" customHeight="1" x14ac:dyDescent="0.2">
      <c r="M2540" s="29"/>
      <c r="N2540" s="29"/>
      <c r="O2540" s="29"/>
      <c r="P2540" s="29"/>
      <c r="Q2540" s="29"/>
      <c r="R2540" s="29"/>
      <c r="S2540" s="29"/>
    </row>
    <row r="2541" spans="13:19" ht="16.5" customHeight="1" x14ac:dyDescent="0.2">
      <c r="M2541" s="29"/>
      <c r="N2541" s="29"/>
      <c r="O2541" s="29"/>
      <c r="P2541" s="29"/>
      <c r="Q2541" s="29"/>
      <c r="R2541" s="29"/>
      <c r="S2541" s="29"/>
    </row>
    <row r="2542" spans="13:19" ht="16.5" customHeight="1" x14ac:dyDescent="0.2">
      <c r="M2542" s="29"/>
      <c r="N2542" s="29"/>
      <c r="O2542" s="29"/>
      <c r="P2542" s="29"/>
      <c r="Q2542" s="29"/>
      <c r="R2542" s="29"/>
      <c r="S2542" s="29"/>
    </row>
    <row r="2543" spans="13:19" ht="16.5" customHeight="1" x14ac:dyDescent="0.2">
      <c r="M2543" s="29"/>
      <c r="N2543" s="29"/>
      <c r="O2543" s="29"/>
      <c r="P2543" s="29"/>
      <c r="Q2543" s="29"/>
      <c r="R2543" s="29"/>
      <c r="S2543" s="29"/>
    </row>
    <row r="2544" spans="13:19" ht="16.5" customHeight="1" x14ac:dyDescent="0.2">
      <c r="M2544" s="29"/>
      <c r="N2544" s="29"/>
      <c r="O2544" s="29"/>
      <c r="P2544" s="29"/>
      <c r="Q2544" s="29"/>
      <c r="R2544" s="29"/>
      <c r="S2544" s="29"/>
    </row>
    <row r="2545" spans="13:19" ht="16.5" customHeight="1" x14ac:dyDescent="0.2">
      <c r="M2545" s="29"/>
      <c r="N2545" s="29"/>
      <c r="O2545" s="29"/>
      <c r="P2545" s="29"/>
      <c r="Q2545" s="29"/>
      <c r="R2545" s="29"/>
      <c r="S2545" s="29"/>
    </row>
    <row r="2546" spans="13:19" ht="16.5" customHeight="1" x14ac:dyDescent="0.2">
      <c r="M2546" s="29"/>
      <c r="N2546" s="29"/>
      <c r="O2546" s="29"/>
      <c r="P2546" s="29"/>
      <c r="Q2546" s="29"/>
      <c r="R2546" s="29"/>
      <c r="S2546" s="29"/>
    </row>
    <row r="2547" spans="13:19" ht="16.5" customHeight="1" x14ac:dyDescent="0.2">
      <c r="M2547" s="29"/>
      <c r="N2547" s="29"/>
      <c r="O2547" s="29"/>
      <c r="P2547" s="29"/>
      <c r="Q2547" s="29"/>
      <c r="R2547" s="29"/>
      <c r="S2547" s="29"/>
    </row>
    <row r="2548" spans="13:19" ht="16.5" customHeight="1" x14ac:dyDescent="0.2">
      <c r="M2548" s="29"/>
      <c r="N2548" s="29"/>
      <c r="O2548" s="29"/>
      <c r="P2548" s="29"/>
      <c r="Q2548" s="29"/>
      <c r="R2548" s="29"/>
      <c r="S2548" s="29"/>
    </row>
    <row r="2549" spans="13:19" ht="16.5" customHeight="1" x14ac:dyDescent="0.2">
      <c r="M2549" s="29"/>
      <c r="N2549" s="29"/>
      <c r="O2549" s="29"/>
      <c r="P2549" s="29"/>
      <c r="Q2549" s="29"/>
      <c r="R2549" s="29"/>
      <c r="S2549" s="29"/>
    </row>
    <row r="2550" spans="13:19" ht="16.5" customHeight="1" x14ac:dyDescent="0.2">
      <c r="M2550" s="29"/>
      <c r="N2550" s="29"/>
      <c r="O2550" s="29"/>
      <c r="P2550" s="29"/>
      <c r="Q2550" s="29"/>
      <c r="R2550" s="29"/>
      <c r="S2550" s="29"/>
    </row>
    <row r="2551" spans="13:19" ht="16.5" customHeight="1" x14ac:dyDescent="0.2">
      <c r="M2551" s="29"/>
      <c r="N2551" s="29"/>
      <c r="O2551" s="29"/>
      <c r="P2551" s="29"/>
      <c r="Q2551" s="29"/>
      <c r="R2551" s="29"/>
      <c r="S2551" s="29"/>
    </row>
    <row r="2552" spans="13:19" ht="16.5" customHeight="1" x14ac:dyDescent="0.2">
      <c r="M2552" s="29"/>
      <c r="N2552" s="29"/>
      <c r="O2552" s="29"/>
      <c r="P2552" s="29"/>
      <c r="Q2552" s="29"/>
      <c r="R2552" s="29"/>
      <c r="S2552" s="29"/>
    </row>
    <row r="2553" spans="13:19" ht="16.5" customHeight="1" x14ac:dyDescent="0.2">
      <c r="M2553" s="29"/>
      <c r="N2553" s="29"/>
      <c r="O2553" s="29"/>
      <c r="P2553" s="29"/>
      <c r="Q2553" s="29"/>
      <c r="R2553" s="29"/>
      <c r="S2553" s="29"/>
    </row>
    <row r="2554" spans="13:19" ht="16.5" customHeight="1" x14ac:dyDescent="0.2">
      <c r="M2554" s="29"/>
      <c r="N2554" s="29"/>
      <c r="O2554" s="29"/>
      <c r="P2554" s="29"/>
      <c r="Q2554" s="29"/>
      <c r="R2554" s="29"/>
      <c r="S2554" s="29"/>
    </row>
    <row r="2555" spans="13:19" ht="16.5" customHeight="1" x14ac:dyDescent="0.2">
      <c r="M2555" s="29"/>
      <c r="N2555" s="29"/>
      <c r="O2555" s="29"/>
      <c r="P2555" s="29"/>
      <c r="Q2555" s="29"/>
      <c r="R2555" s="29"/>
      <c r="S2555" s="29"/>
    </row>
    <row r="2556" spans="13:19" ht="16.5" customHeight="1" x14ac:dyDescent="0.2">
      <c r="M2556" s="29"/>
      <c r="N2556" s="29"/>
      <c r="O2556" s="29"/>
      <c r="P2556" s="29"/>
      <c r="Q2556" s="29"/>
      <c r="R2556" s="29"/>
      <c r="S2556" s="29"/>
    </row>
    <row r="2557" spans="13:19" ht="16.5" customHeight="1" x14ac:dyDescent="0.2">
      <c r="M2557" s="29"/>
      <c r="N2557" s="29"/>
      <c r="O2557" s="29"/>
      <c r="P2557" s="29"/>
      <c r="Q2557" s="29"/>
      <c r="R2557" s="29"/>
      <c r="S2557" s="29"/>
    </row>
    <row r="2558" spans="13:19" ht="16.5" customHeight="1" x14ac:dyDescent="0.2">
      <c r="M2558" s="29"/>
      <c r="N2558" s="29"/>
      <c r="O2558" s="29"/>
      <c r="P2558" s="29"/>
      <c r="Q2558" s="29"/>
      <c r="R2558" s="29"/>
      <c r="S2558" s="29"/>
    </row>
    <row r="2559" spans="13:19" ht="16.5" customHeight="1" x14ac:dyDescent="0.2">
      <c r="M2559" s="29"/>
      <c r="N2559" s="29"/>
      <c r="O2559" s="29"/>
      <c r="P2559" s="29"/>
      <c r="Q2559" s="29"/>
      <c r="R2559" s="29"/>
      <c r="S2559" s="29"/>
    </row>
    <row r="2560" spans="13:19" ht="16.5" customHeight="1" x14ac:dyDescent="0.2">
      <c r="M2560" s="29"/>
      <c r="N2560" s="29"/>
      <c r="O2560" s="29"/>
      <c r="P2560" s="29"/>
      <c r="Q2560" s="29"/>
      <c r="R2560" s="29"/>
      <c r="S2560" s="29"/>
    </row>
    <row r="2561" spans="13:19" ht="16.5" customHeight="1" x14ac:dyDescent="0.2">
      <c r="M2561" s="29"/>
      <c r="N2561" s="29"/>
      <c r="O2561" s="29"/>
      <c r="P2561" s="29"/>
      <c r="Q2561" s="29"/>
      <c r="R2561" s="29"/>
      <c r="S2561" s="29"/>
    </row>
    <row r="2562" spans="13:19" ht="16.5" customHeight="1" x14ac:dyDescent="0.2">
      <c r="M2562" s="29"/>
      <c r="N2562" s="29"/>
      <c r="O2562" s="29"/>
      <c r="P2562" s="29"/>
      <c r="Q2562" s="29"/>
      <c r="R2562" s="29"/>
      <c r="S2562" s="29"/>
    </row>
    <row r="2563" spans="13:19" ht="16.5" customHeight="1" x14ac:dyDescent="0.2">
      <c r="M2563" s="29"/>
      <c r="N2563" s="29"/>
      <c r="O2563" s="29"/>
      <c r="P2563" s="29"/>
      <c r="Q2563" s="29"/>
      <c r="R2563" s="29"/>
      <c r="S2563" s="29"/>
    </row>
    <row r="2564" spans="13:19" ht="16.5" customHeight="1" x14ac:dyDescent="0.2">
      <c r="M2564" s="29"/>
      <c r="N2564" s="29"/>
      <c r="O2564" s="29"/>
      <c r="P2564" s="29"/>
      <c r="Q2564" s="29"/>
      <c r="R2564" s="29"/>
      <c r="S2564" s="29"/>
    </row>
    <row r="2565" spans="13:19" ht="16.5" customHeight="1" x14ac:dyDescent="0.2">
      <c r="M2565" s="29"/>
      <c r="N2565" s="29"/>
      <c r="O2565" s="29"/>
      <c r="P2565" s="29"/>
      <c r="Q2565" s="29"/>
      <c r="R2565" s="29"/>
      <c r="S2565" s="29"/>
    </row>
    <row r="2566" spans="13:19" ht="16.5" customHeight="1" x14ac:dyDescent="0.2">
      <c r="M2566" s="29"/>
      <c r="N2566" s="29"/>
      <c r="O2566" s="29"/>
      <c r="P2566" s="29"/>
      <c r="Q2566" s="29"/>
      <c r="R2566" s="29"/>
      <c r="S2566" s="29"/>
    </row>
    <row r="2567" spans="13:19" ht="16.5" customHeight="1" x14ac:dyDescent="0.2">
      <c r="M2567" s="29"/>
      <c r="N2567" s="29"/>
      <c r="O2567" s="29"/>
      <c r="P2567" s="29"/>
      <c r="Q2567" s="29"/>
      <c r="R2567" s="29"/>
      <c r="S2567" s="29"/>
    </row>
    <row r="2568" spans="13:19" ht="16.5" customHeight="1" x14ac:dyDescent="0.2">
      <c r="M2568" s="29"/>
      <c r="N2568" s="29"/>
      <c r="O2568" s="29"/>
      <c r="P2568" s="29"/>
      <c r="Q2568" s="29"/>
      <c r="R2568" s="29"/>
      <c r="S2568" s="29"/>
    </row>
    <row r="2569" spans="13:19" ht="16.5" customHeight="1" x14ac:dyDescent="0.2">
      <c r="M2569" s="29"/>
      <c r="N2569" s="29"/>
      <c r="O2569" s="29"/>
      <c r="P2569" s="29"/>
      <c r="Q2569" s="29"/>
      <c r="R2569" s="29"/>
      <c r="S2569" s="29"/>
    </row>
    <row r="2570" spans="13:19" ht="16.5" customHeight="1" x14ac:dyDescent="0.2">
      <c r="M2570" s="29"/>
      <c r="N2570" s="29"/>
      <c r="O2570" s="29"/>
      <c r="P2570" s="29"/>
      <c r="Q2570" s="29"/>
      <c r="R2570" s="29"/>
      <c r="S2570" s="29"/>
    </row>
    <row r="2571" spans="13:19" ht="16.5" customHeight="1" x14ac:dyDescent="0.2">
      <c r="M2571" s="29"/>
      <c r="N2571" s="29"/>
      <c r="O2571" s="29"/>
      <c r="P2571" s="29"/>
      <c r="Q2571" s="29"/>
      <c r="R2571" s="29"/>
      <c r="S2571" s="29"/>
    </row>
    <row r="2572" spans="13:19" ht="16.5" customHeight="1" x14ac:dyDescent="0.2">
      <c r="M2572" s="29"/>
      <c r="N2572" s="29"/>
      <c r="O2572" s="29"/>
      <c r="P2572" s="29"/>
      <c r="Q2572" s="29"/>
      <c r="R2572" s="29"/>
      <c r="S2572" s="29"/>
    </row>
    <row r="2573" spans="13:19" ht="16.5" customHeight="1" x14ac:dyDescent="0.2">
      <c r="M2573" s="29"/>
      <c r="N2573" s="29"/>
      <c r="O2573" s="29"/>
      <c r="P2573" s="29"/>
      <c r="Q2573" s="29"/>
      <c r="R2573" s="29"/>
      <c r="S2573" s="29"/>
    </row>
    <row r="2574" spans="13:19" ht="16.5" customHeight="1" x14ac:dyDescent="0.2">
      <c r="M2574" s="29"/>
      <c r="N2574" s="29"/>
      <c r="O2574" s="29"/>
      <c r="P2574" s="29"/>
      <c r="Q2574" s="29"/>
      <c r="R2574" s="29"/>
      <c r="S2574" s="29"/>
    </row>
    <row r="2575" spans="13:19" ht="16.5" customHeight="1" x14ac:dyDescent="0.2">
      <c r="M2575" s="29"/>
      <c r="N2575" s="29"/>
      <c r="O2575" s="29"/>
      <c r="P2575" s="29"/>
      <c r="Q2575" s="29"/>
      <c r="R2575" s="29"/>
      <c r="S2575" s="29"/>
    </row>
    <row r="2576" spans="13:19" ht="16.5" customHeight="1" x14ac:dyDescent="0.2">
      <c r="M2576" s="29"/>
      <c r="N2576" s="29"/>
      <c r="O2576" s="29"/>
      <c r="P2576" s="29"/>
      <c r="Q2576" s="29"/>
      <c r="R2576" s="29"/>
      <c r="S2576" s="29"/>
    </row>
    <row r="2577" spans="13:19" ht="16.5" customHeight="1" x14ac:dyDescent="0.2">
      <c r="M2577" s="29"/>
      <c r="N2577" s="29"/>
      <c r="O2577" s="29"/>
      <c r="P2577" s="29"/>
      <c r="Q2577" s="29"/>
      <c r="R2577" s="29"/>
      <c r="S2577" s="29"/>
    </row>
    <row r="2578" spans="13:19" ht="16.5" customHeight="1" x14ac:dyDescent="0.2">
      <c r="M2578" s="29"/>
      <c r="N2578" s="29"/>
      <c r="O2578" s="29"/>
      <c r="P2578" s="29"/>
      <c r="Q2578" s="29"/>
      <c r="R2578" s="29"/>
      <c r="S2578" s="29"/>
    </row>
    <row r="2579" spans="13:19" ht="16.5" customHeight="1" x14ac:dyDescent="0.2">
      <c r="M2579" s="29"/>
      <c r="N2579" s="29"/>
      <c r="O2579" s="29"/>
      <c r="P2579" s="29"/>
      <c r="Q2579" s="29"/>
      <c r="R2579" s="29"/>
      <c r="S2579" s="29"/>
    </row>
    <row r="2580" spans="13:19" ht="16.5" customHeight="1" x14ac:dyDescent="0.2">
      <c r="M2580" s="29"/>
      <c r="N2580" s="29"/>
      <c r="O2580" s="29"/>
      <c r="P2580" s="29"/>
      <c r="Q2580" s="29"/>
      <c r="R2580" s="29"/>
      <c r="S2580" s="29"/>
    </row>
    <row r="2581" spans="13:19" ht="16.5" customHeight="1" x14ac:dyDescent="0.2">
      <c r="M2581" s="29"/>
      <c r="N2581" s="29"/>
      <c r="O2581" s="29"/>
      <c r="P2581" s="29"/>
      <c r="Q2581" s="29"/>
      <c r="R2581" s="29"/>
      <c r="S2581" s="29"/>
    </row>
    <row r="2582" spans="13:19" ht="16.5" customHeight="1" x14ac:dyDescent="0.2">
      <c r="M2582" s="29"/>
      <c r="N2582" s="29"/>
      <c r="O2582" s="29"/>
      <c r="P2582" s="29"/>
      <c r="Q2582" s="29"/>
      <c r="R2582" s="29"/>
      <c r="S2582" s="29"/>
    </row>
    <row r="2583" spans="13:19" ht="16.5" customHeight="1" x14ac:dyDescent="0.2">
      <c r="M2583" s="29"/>
      <c r="N2583" s="29"/>
      <c r="O2583" s="29"/>
      <c r="P2583" s="29"/>
      <c r="Q2583" s="29"/>
      <c r="R2583" s="29"/>
      <c r="S2583" s="29"/>
    </row>
    <row r="2584" spans="13:19" ht="16.5" customHeight="1" x14ac:dyDescent="0.2">
      <c r="M2584" s="29"/>
      <c r="N2584" s="29"/>
      <c r="O2584" s="29"/>
      <c r="P2584" s="29"/>
      <c r="Q2584" s="29"/>
      <c r="R2584" s="29"/>
      <c r="S2584" s="29"/>
    </row>
    <row r="2585" spans="13:19" ht="16.5" customHeight="1" x14ac:dyDescent="0.2">
      <c r="M2585" s="29"/>
      <c r="N2585" s="29"/>
      <c r="O2585" s="29"/>
      <c r="P2585" s="29"/>
      <c r="Q2585" s="29"/>
      <c r="R2585" s="29"/>
      <c r="S2585" s="29"/>
    </row>
    <row r="2586" spans="13:19" ht="16.5" customHeight="1" x14ac:dyDescent="0.2">
      <c r="M2586" s="29"/>
      <c r="N2586" s="29"/>
      <c r="O2586" s="29"/>
      <c r="P2586" s="29"/>
      <c r="Q2586" s="29"/>
      <c r="R2586" s="29"/>
      <c r="S2586" s="29"/>
    </row>
    <row r="2587" spans="13:19" ht="16.5" customHeight="1" x14ac:dyDescent="0.2">
      <c r="M2587" s="29"/>
      <c r="N2587" s="29"/>
      <c r="O2587" s="29"/>
      <c r="P2587" s="29"/>
      <c r="Q2587" s="29"/>
      <c r="R2587" s="29"/>
      <c r="S2587" s="29"/>
    </row>
    <row r="2588" spans="13:19" ht="16.5" customHeight="1" x14ac:dyDescent="0.2">
      <c r="M2588" s="29"/>
      <c r="N2588" s="29"/>
      <c r="O2588" s="29"/>
      <c r="P2588" s="29"/>
      <c r="Q2588" s="29"/>
      <c r="R2588" s="29"/>
      <c r="S2588" s="29"/>
    </row>
    <row r="2589" spans="13:19" ht="16.5" customHeight="1" x14ac:dyDescent="0.2">
      <c r="M2589" s="29"/>
      <c r="N2589" s="29"/>
      <c r="O2589" s="29"/>
      <c r="P2589" s="29"/>
      <c r="Q2589" s="29"/>
      <c r="R2589" s="29"/>
      <c r="S2589" s="29"/>
    </row>
    <row r="2590" spans="13:19" ht="16.5" customHeight="1" x14ac:dyDescent="0.2">
      <c r="M2590" s="29"/>
      <c r="N2590" s="29"/>
      <c r="O2590" s="29"/>
      <c r="P2590" s="29"/>
      <c r="Q2590" s="29"/>
      <c r="R2590" s="29"/>
      <c r="S2590" s="29"/>
    </row>
    <row r="2591" spans="13:19" ht="16.5" customHeight="1" x14ac:dyDescent="0.2">
      <c r="M2591" s="29"/>
      <c r="N2591" s="29"/>
      <c r="O2591" s="29"/>
      <c r="P2591" s="29"/>
      <c r="Q2591" s="29"/>
      <c r="R2591" s="29"/>
      <c r="S2591" s="29"/>
    </row>
    <row r="2592" spans="13:19" ht="16.5" customHeight="1" x14ac:dyDescent="0.2">
      <c r="M2592" s="29"/>
      <c r="N2592" s="29"/>
      <c r="O2592" s="29"/>
      <c r="P2592" s="29"/>
      <c r="Q2592" s="29"/>
      <c r="R2592" s="29"/>
      <c r="S2592" s="29"/>
    </row>
    <row r="2593" spans="13:19" ht="16.5" customHeight="1" x14ac:dyDescent="0.2">
      <c r="M2593" s="29"/>
      <c r="N2593" s="29"/>
      <c r="O2593" s="29"/>
      <c r="P2593" s="29"/>
      <c r="Q2593" s="29"/>
      <c r="R2593" s="29"/>
      <c r="S2593" s="29"/>
    </row>
    <row r="2594" spans="13:19" ht="16.5" customHeight="1" x14ac:dyDescent="0.2">
      <c r="M2594" s="29"/>
      <c r="N2594" s="29"/>
      <c r="O2594" s="29"/>
      <c r="P2594" s="29"/>
      <c r="Q2594" s="29"/>
      <c r="R2594" s="29"/>
      <c r="S2594" s="29"/>
    </row>
    <row r="2595" spans="13:19" ht="16.5" customHeight="1" x14ac:dyDescent="0.2">
      <c r="M2595" s="29"/>
      <c r="N2595" s="29"/>
      <c r="O2595" s="29"/>
      <c r="P2595" s="29"/>
      <c r="Q2595" s="29"/>
      <c r="R2595" s="29"/>
      <c r="S2595" s="29"/>
    </row>
    <row r="2596" spans="13:19" ht="16.5" customHeight="1" x14ac:dyDescent="0.2">
      <c r="M2596" s="29"/>
      <c r="N2596" s="29"/>
      <c r="O2596" s="29"/>
      <c r="P2596" s="29"/>
      <c r="Q2596" s="29"/>
      <c r="R2596" s="29"/>
      <c r="S2596" s="29"/>
    </row>
    <row r="2597" spans="13:19" ht="16.5" customHeight="1" x14ac:dyDescent="0.2">
      <c r="M2597" s="29"/>
      <c r="N2597" s="29"/>
      <c r="O2597" s="29"/>
      <c r="P2597" s="29"/>
      <c r="Q2597" s="29"/>
      <c r="R2597" s="29"/>
      <c r="S2597" s="29"/>
    </row>
    <row r="2598" spans="13:19" ht="16.5" customHeight="1" x14ac:dyDescent="0.2">
      <c r="M2598" s="29"/>
      <c r="N2598" s="29"/>
      <c r="O2598" s="29"/>
      <c r="P2598" s="29"/>
      <c r="Q2598" s="29"/>
      <c r="R2598" s="29"/>
      <c r="S2598" s="29"/>
    </row>
    <row r="2599" spans="13:19" ht="16.5" customHeight="1" x14ac:dyDescent="0.2">
      <c r="M2599" s="29"/>
      <c r="N2599" s="29"/>
      <c r="O2599" s="29"/>
      <c r="P2599" s="29"/>
      <c r="Q2599" s="29"/>
      <c r="R2599" s="29"/>
      <c r="S2599" s="29"/>
    </row>
    <row r="2600" spans="13:19" ht="16.5" customHeight="1" x14ac:dyDescent="0.2">
      <c r="M2600" s="29"/>
      <c r="N2600" s="29"/>
      <c r="O2600" s="29"/>
      <c r="P2600" s="29"/>
      <c r="Q2600" s="29"/>
      <c r="R2600" s="29"/>
      <c r="S2600" s="29"/>
    </row>
    <row r="2601" spans="13:19" ht="16.5" customHeight="1" x14ac:dyDescent="0.2">
      <c r="M2601" s="29"/>
      <c r="N2601" s="29"/>
      <c r="O2601" s="29"/>
      <c r="P2601" s="29"/>
      <c r="Q2601" s="29"/>
      <c r="R2601" s="29"/>
      <c r="S2601" s="29"/>
    </row>
    <row r="2602" spans="13:19" ht="16.5" customHeight="1" x14ac:dyDescent="0.2">
      <c r="M2602" s="29"/>
      <c r="N2602" s="29"/>
      <c r="O2602" s="29"/>
      <c r="P2602" s="29"/>
      <c r="Q2602" s="29"/>
      <c r="R2602" s="29"/>
      <c r="S2602" s="29"/>
    </row>
    <row r="2603" spans="13:19" ht="16.5" customHeight="1" x14ac:dyDescent="0.2">
      <c r="M2603" s="29"/>
      <c r="N2603" s="29"/>
      <c r="O2603" s="29"/>
      <c r="P2603" s="29"/>
      <c r="Q2603" s="29"/>
      <c r="R2603" s="29"/>
      <c r="S2603" s="29"/>
    </row>
    <row r="2604" spans="13:19" ht="16.5" customHeight="1" x14ac:dyDescent="0.2">
      <c r="M2604" s="29"/>
      <c r="N2604" s="29"/>
      <c r="O2604" s="29"/>
      <c r="P2604" s="29"/>
      <c r="Q2604" s="29"/>
      <c r="R2604" s="29"/>
      <c r="S2604" s="29"/>
    </row>
    <row r="2605" spans="13:19" ht="16.5" customHeight="1" x14ac:dyDescent="0.2">
      <c r="M2605" s="29"/>
      <c r="N2605" s="29"/>
      <c r="O2605" s="29"/>
      <c r="P2605" s="29"/>
      <c r="Q2605" s="29"/>
      <c r="R2605" s="29"/>
      <c r="S2605" s="29"/>
    </row>
    <row r="2606" spans="13:19" ht="16.5" customHeight="1" x14ac:dyDescent="0.2">
      <c r="M2606" s="29"/>
      <c r="N2606" s="29"/>
      <c r="O2606" s="29"/>
      <c r="P2606" s="29"/>
      <c r="Q2606" s="29"/>
      <c r="R2606" s="29"/>
      <c r="S2606" s="29"/>
    </row>
    <row r="2607" spans="13:19" ht="16.5" customHeight="1" x14ac:dyDescent="0.2">
      <c r="M2607" s="29"/>
      <c r="N2607" s="29"/>
      <c r="O2607" s="29"/>
      <c r="P2607" s="29"/>
      <c r="Q2607" s="29"/>
      <c r="R2607" s="29"/>
      <c r="S2607" s="29"/>
    </row>
    <row r="2608" spans="13:19" ht="16.5" customHeight="1" x14ac:dyDescent="0.2">
      <c r="M2608" s="29"/>
      <c r="N2608" s="29"/>
      <c r="O2608" s="29"/>
      <c r="P2608" s="29"/>
      <c r="Q2608" s="29"/>
      <c r="R2608" s="29"/>
      <c r="S2608" s="29"/>
    </row>
    <row r="2609" spans="13:19" ht="16.5" customHeight="1" x14ac:dyDescent="0.2">
      <c r="M2609" s="29"/>
      <c r="N2609" s="29"/>
      <c r="O2609" s="29"/>
      <c r="P2609" s="29"/>
      <c r="Q2609" s="29"/>
      <c r="R2609" s="29"/>
      <c r="S2609" s="29"/>
    </row>
    <row r="2610" spans="13:19" ht="16.5" customHeight="1" x14ac:dyDescent="0.2">
      <c r="M2610" s="29"/>
      <c r="N2610" s="29"/>
      <c r="O2610" s="29"/>
      <c r="P2610" s="29"/>
      <c r="Q2610" s="29"/>
      <c r="R2610" s="29"/>
      <c r="S2610" s="29"/>
    </row>
    <row r="2611" spans="13:19" ht="16.5" customHeight="1" x14ac:dyDescent="0.2">
      <c r="M2611" s="29"/>
      <c r="N2611" s="29"/>
      <c r="O2611" s="29"/>
      <c r="P2611" s="29"/>
      <c r="Q2611" s="29"/>
      <c r="R2611" s="29"/>
      <c r="S2611" s="29"/>
    </row>
    <row r="2612" spans="13:19" ht="16.5" customHeight="1" x14ac:dyDescent="0.2">
      <c r="M2612" s="29"/>
      <c r="N2612" s="29"/>
      <c r="O2612" s="29"/>
      <c r="P2612" s="29"/>
      <c r="Q2612" s="29"/>
      <c r="R2612" s="29"/>
      <c r="S2612" s="29"/>
    </row>
    <row r="2613" spans="13:19" ht="16.5" customHeight="1" x14ac:dyDescent="0.2">
      <c r="M2613" s="29"/>
      <c r="N2613" s="29"/>
      <c r="O2613" s="29"/>
      <c r="P2613" s="29"/>
      <c r="Q2613" s="29"/>
      <c r="R2613" s="29"/>
      <c r="S2613" s="29"/>
    </row>
    <row r="2614" spans="13:19" ht="16.5" customHeight="1" x14ac:dyDescent="0.2">
      <c r="M2614" s="29"/>
      <c r="N2614" s="29"/>
      <c r="O2614" s="29"/>
      <c r="P2614" s="29"/>
      <c r="Q2614" s="29"/>
      <c r="R2614" s="29"/>
      <c r="S2614" s="29"/>
    </row>
    <row r="2615" spans="13:19" ht="16.5" customHeight="1" x14ac:dyDescent="0.2">
      <c r="M2615" s="29"/>
      <c r="N2615" s="29"/>
      <c r="O2615" s="29"/>
      <c r="P2615" s="29"/>
      <c r="Q2615" s="29"/>
      <c r="R2615" s="29"/>
      <c r="S2615" s="29"/>
    </row>
    <row r="2616" spans="13:19" ht="16.5" customHeight="1" x14ac:dyDescent="0.2">
      <c r="M2616" s="29"/>
      <c r="N2616" s="29"/>
      <c r="O2616" s="29"/>
      <c r="P2616" s="29"/>
      <c r="Q2616" s="29"/>
      <c r="R2616" s="29"/>
      <c r="S2616" s="29"/>
    </row>
    <row r="2617" spans="13:19" ht="16.5" customHeight="1" x14ac:dyDescent="0.2">
      <c r="M2617" s="29"/>
      <c r="N2617" s="29"/>
      <c r="O2617" s="29"/>
      <c r="P2617" s="29"/>
      <c r="Q2617" s="29"/>
      <c r="R2617" s="29"/>
      <c r="S2617" s="29"/>
    </row>
    <row r="2618" spans="13:19" ht="16.5" customHeight="1" x14ac:dyDescent="0.2">
      <c r="M2618" s="29"/>
      <c r="N2618" s="29"/>
      <c r="O2618" s="29"/>
      <c r="P2618" s="29"/>
      <c r="Q2618" s="29"/>
      <c r="R2618" s="29"/>
      <c r="S2618" s="29"/>
    </row>
    <row r="2619" spans="13:19" ht="16.5" customHeight="1" x14ac:dyDescent="0.2">
      <c r="M2619" s="29"/>
      <c r="N2619" s="29"/>
      <c r="O2619" s="29"/>
      <c r="P2619" s="29"/>
      <c r="Q2619" s="29"/>
      <c r="R2619" s="29"/>
      <c r="S2619" s="29"/>
    </row>
    <row r="2620" spans="13:19" ht="16.5" customHeight="1" x14ac:dyDescent="0.2">
      <c r="M2620" s="29"/>
      <c r="N2620" s="29"/>
      <c r="O2620" s="29"/>
      <c r="P2620" s="29"/>
      <c r="Q2620" s="29"/>
      <c r="R2620" s="29"/>
      <c r="S2620" s="29"/>
    </row>
    <row r="2621" spans="13:19" ht="16.5" customHeight="1" x14ac:dyDescent="0.2">
      <c r="M2621" s="29"/>
      <c r="N2621" s="29"/>
      <c r="O2621" s="29"/>
      <c r="P2621" s="29"/>
      <c r="Q2621" s="29"/>
      <c r="R2621" s="29"/>
      <c r="S2621" s="29"/>
    </row>
    <row r="2622" spans="13:19" ht="16.5" customHeight="1" x14ac:dyDescent="0.2">
      <c r="M2622" s="29"/>
      <c r="N2622" s="29"/>
      <c r="O2622" s="29"/>
      <c r="P2622" s="29"/>
      <c r="Q2622" s="29"/>
      <c r="R2622" s="29"/>
      <c r="S2622" s="29"/>
    </row>
    <row r="2623" spans="13:19" ht="16.5" customHeight="1" x14ac:dyDescent="0.2">
      <c r="M2623" s="29"/>
      <c r="N2623" s="29"/>
      <c r="O2623" s="29"/>
      <c r="P2623" s="29"/>
      <c r="Q2623" s="29"/>
      <c r="R2623" s="29"/>
      <c r="S2623" s="29"/>
    </row>
    <row r="2624" spans="13:19" ht="16.5" customHeight="1" x14ac:dyDescent="0.2">
      <c r="M2624" s="29"/>
      <c r="N2624" s="29"/>
      <c r="O2624" s="29"/>
      <c r="P2624" s="29"/>
      <c r="Q2624" s="29"/>
      <c r="R2624" s="29"/>
      <c r="S2624" s="29"/>
    </row>
    <row r="2625" spans="13:19" ht="16.5" customHeight="1" x14ac:dyDescent="0.2">
      <c r="M2625" s="29"/>
      <c r="N2625" s="29"/>
      <c r="O2625" s="29"/>
      <c r="P2625" s="29"/>
      <c r="Q2625" s="29"/>
      <c r="R2625" s="29"/>
      <c r="S2625" s="29"/>
    </row>
    <row r="2626" spans="13:19" ht="16.5" customHeight="1" x14ac:dyDescent="0.2">
      <c r="M2626" s="29"/>
      <c r="N2626" s="29"/>
      <c r="O2626" s="29"/>
      <c r="P2626" s="29"/>
      <c r="Q2626" s="29"/>
      <c r="R2626" s="29"/>
      <c r="S2626" s="29"/>
    </row>
    <row r="2627" spans="13:19" ht="16.5" customHeight="1" x14ac:dyDescent="0.2">
      <c r="M2627" s="29"/>
      <c r="N2627" s="29"/>
      <c r="O2627" s="29"/>
      <c r="P2627" s="29"/>
      <c r="Q2627" s="29"/>
      <c r="R2627" s="29"/>
      <c r="S2627" s="29"/>
    </row>
    <row r="2628" spans="13:19" ht="16.5" customHeight="1" x14ac:dyDescent="0.2">
      <c r="M2628" s="29"/>
      <c r="N2628" s="29"/>
      <c r="O2628" s="29"/>
      <c r="P2628" s="29"/>
      <c r="Q2628" s="29"/>
      <c r="R2628" s="29"/>
      <c r="S2628" s="29"/>
    </row>
    <row r="2629" spans="13:19" ht="16.5" customHeight="1" x14ac:dyDescent="0.2">
      <c r="M2629" s="29"/>
      <c r="N2629" s="29"/>
      <c r="O2629" s="29"/>
      <c r="P2629" s="29"/>
      <c r="Q2629" s="29"/>
      <c r="R2629" s="29"/>
      <c r="S2629" s="29"/>
    </row>
    <row r="2630" spans="13:19" ht="16.5" customHeight="1" x14ac:dyDescent="0.2">
      <c r="M2630" s="29"/>
      <c r="N2630" s="29"/>
      <c r="O2630" s="29"/>
      <c r="P2630" s="29"/>
      <c r="Q2630" s="29"/>
      <c r="R2630" s="29"/>
      <c r="S2630" s="29"/>
    </row>
    <row r="2631" spans="13:19" ht="16.5" customHeight="1" x14ac:dyDescent="0.2">
      <c r="M2631" s="29"/>
      <c r="N2631" s="29"/>
      <c r="O2631" s="29"/>
      <c r="P2631" s="29"/>
      <c r="Q2631" s="29"/>
      <c r="R2631" s="29"/>
      <c r="S2631" s="29"/>
    </row>
    <row r="2632" spans="13:19" ht="16.5" customHeight="1" x14ac:dyDescent="0.2">
      <c r="M2632" s="29"/>
      <c r="N2632" s="29"/>
      <c r="O2632" s="29"/>
      <c r="P2632" s="29"/>
      <c r="Q2632" s="29"/>
      <c r="R2632" s="29"/>
      <c r="S2632" s="29"/>
    </row>
    <row r="2633" spans="13:19" ht="16.5" customHeight="1" x14ac:dyDescent="0.2">
      <c r="M2633" s="29"/>
      <c r="N2633" s="29"/>
      <c r="O2633" s="29"/>
      <c r="P2633" s="29"/>
      <c r="Q2633" s="29"/>
      <c r="R2633" s="29"/>
      <c r="S2633" s="29"/>
    </row>
    <row r="2634" spans="13:19" ht="16.5" customHeight="1" x14ac:dyDescent="0.2">
      <c r="M2634" s="29"/>
      <c r="N2634" s="29"/>
      <c r="O2634" s="29"/>
      <c r="P2634" s="29"/>
      <c r="Q2634" s="29"/>
      <c r="R2634" s="29"/>
      <c r="S2634" s="29"/>
    </row>
    <row r="2635" spans="13:19" ht="16.5" customHeight="1" x14ac:dyDescent="0.2">
      <c r="M2635" s="29"/>
      <c r="N2635" s="29"/>
      <c r="O2635" s="29"/>
      <c r="P2635" s="29"/>
      <c r="Q2635" s="29"/>
      <c r="R2635" s="29"/>
      <c r="S2635" s="29"/>
    </row>
    <row r="2636" spans="13:19" ht="16.5" customHeight="1" x14ac:dyDescent="0.2">
      <c r="M2636" s="29"/>
      <c r="N2636" s="29"/>
      <c r="O2636" s="29"/>
      <c r="P2636" s="29"/>
      <c r="Q2636" s="29"/>
      <c r="R2636" s="29"/>
      <c r="S2636" s="29"/>
    </row>
    <row r="2637" spans="13:19" ht="16.5" customHeight="1" x14ac:dyDescent="0.2">
      <c r="M2637" s="29"/>
      <c r="N2637" s="29"/>
      <c r="O2637" s="29"/>
      <c r="P2637" s="29"/>
      <c r="Q2637" s="29"/>
      <c r="R2637" s="29"/>
      <c r="S2637" s="29"/>
    </row>
    <row r="2638" spans="13:19" ht="16.5" customHeight="1" x14ac:dyDescent="0.2">
      <c r="M2638" s="29"/>
      <c r="N2638" s="29"/>
      <c r="O2638" s="29"/>
      <c r="P2638" s="29"/>
      <c r="Q2638" s="29"/>
      <c r="R2638" s="29"/>
      <c r="S2638" s="29"/>
    </row>
    <row r="2639" spans="13:19" ht="16.5" customHeight="1" x14ac:dyDescent="0.2">
      <c r="M2639" s="29"/>
      <c r="N2639" s="29"/>
      <c r="O2639" s="29"/>
      <c r="P2639" s="29"/>
      <c r="Q2639" s="29"/>
      <c r="R2639" s="29"/>
      <c r="S2639" s="29"/>
    </row>
    <row r="2640" spans="13:19" ht="16.5" customHeight="1" x14ac:dyDescent="0.2">
      <c r="M2640" s="29"/>
      <c r="N2640" s="29"/>
      <c r="O2640" s="29"/>
      <c r="P2640" s="29"/>
      <c r="Q2640" s="29"/>
      <c r="R2640" s="29"/>
      <c r="S2640" s="29"/>
    </row>
    <row r="2641" spans="13:19" ht="16.5" customHeight="1" x14ac:dyDescent="0.2">
      <c r="M2641" s="29"/>
      <c r="N2641" s="29"/>
      <c r="O2641" s="29"/>
      <c r="P2641" s="29"/>
      <c r="Q2641" s="29"/>
      <c r="R2641" s="29"/>
      <c r="S2641" s="29"/>
    </row>
    <row r="2642" spans="13:19" ht="16.5" customHeight="1" x14ac:dyDescent="0.2">
      <c r="M2642" s="29"/>
      <c r="N2642" s="29"/>
      <c r="O2642" s="29"/>
      <c r="P2642" s="29"/>
      <c r="Q2642" s="29"/>
      <c r="R2642" s="29"/>
      <c r="S2642" s="29"/>
    </row>
    <row r="2643" spans="13:19" ht="16.5" customHeight="1" x14ac:dyDescent="0.2">
      <c r="M2643" s="29"/>
      <c r="N2643" s="29"/>
      <c r="O2643" s="29"/>
      <c r="P2643" s="29"/>
      <c r="Q2643" s="29"/>
      <c r="R2643" s="29"/>
      <c r="S2643" s="29"/>
    </row>
    <row r="2644" spans="13:19" ht="16.5" customHeight="1" x14ac:dyDescent="0.2">
      <c r="M2644" s="29"/>
      <c r="N2644" s="29"/>
      <c r="O2644" s="29"/>
      <c r="P2644" s="29"/>
      <c r="Q2644" s="29"/>
      <c r="R2644" s="29"/>
      <c r="S2644" s="29"/>
    </row>
    <row r="2645" spans="13:19" ht="16.5" customHeight="1" x14ac:dyDescent="0.2">
      <c r="M2645" s="29"/>
      <c r="N2645" s="29"/>
      <c r="O2645" s="29"/>
      <c r="P2645" s="29"/>
      <c r="Q2645" s="29"/>
      <c r="R2645" s="29"/>
      <c r="S2645" s="29"/>
    </row>
    <row r="2646" spans="13:19" ht="16.5" customHeight="1" x14ac:dyDescent="0.2">
      <c r="M2646" s="29"/>
      <c r="N2646" s="29"/>
      <c r="O2646" s="29"/>
      <c r="P2646" s="29"/>
      <c r="Q2646" s="29"/>
      <c r="R2646" s="29"/>
      <c r="S2646" s="29"/>
    </row>
    <row r="2647" spans="13:19" ht="16.5" customHeight="1" x14ac:dyDescent="0.2">
      <c r="M2647" s="29"/>
      <c r="N2647" s="29"/>
      <c r="O2647" s="29"/>
      <c r="P2647" s="29"/>
      <c r="Q2647" s="29"/>
      <c r="R2647" s="29"/>
      <c r="S2647" s="29"/>
    </row>
    <row r="2648" spans="13:19" ht="16.5" customHeight="1" x14ac:dyDescent="0.2">
      <c r="M2648" s="29"/>
      <c r="N2648" s="29"/>
      <c r="O2648" s="29"/>
      <c r="P2648" s="29"/>
      <c r="Q2648" s="29"/>
      <c r="R2648" s="29"/>
      <c r="S2648" s="29"/>
    </row>
    <row r="2649" spans="13:19" ht="16.5" customHeight="1" x14ac:dyDescent="0.2">
      <c r="M2649" s="29"/>
      <c r="N2649" s="29"/>
      <c r="O2649" s="29"/>
      <c r="P2649" s="29"/>
      <c r="Q2649" s="29"/>
      <c r="R2649" s="29"/>
      <c r="S2649" s="29"/>
    </row>
    <row r="2650" spans="13:19" ht="16.5" customHeight="1" x14ac:dyDescent="0.2">
      <c r="M2650" s="29"/>
      <c r="N2650" s="29"/>
      <c r="O2650" s="29"/>
      <c r="P2650" s="29"/>
      <c r="Q2650" s="29"/>
      <c r="R2650" s="29"/>
      <c r="S2650" s="29"/>
    </row>
    <row r="2651" spans="13:19" ht="16.5" customHeight="1" x14ac:dyDescent="0.2">
      <c r="M2651" s="29"/>
      <c r="N2651" s="29"/>
      <c r="O2651" s="29"/>
      <c r="P2651" s="29"/>
      <c r="Q2651" s="29"/>
      <c r="R2651" s="29"/>
      <c r="S2651" s="29"/>
    </row>
    <row r="2652" spans="13:19" ht="16.5" customHeight="1" x14ac:dyDescent="0.2">
      <c r="M2652" s="29"/>
      <c r="N2652" s="29"/>
      <c r="O2652" s="29"/>
      <c r="P2652" s="29"/>
      <c r="Q2652" s="29"/>
      <c r="R2652" s="29"/>
      <c r="S2652" s="29"/>
    </row>
    <row r="2653" spans="13:19" ht="16.5" customHeight="1" x14ac:dyDescent="0.2">
      <c r="M2653" s="29"/>
      <c r="N2653" s="29"/>
      <c r="O2653" s="29"/>
      <c r="P2653" s="29"/>
      <c r="Q2653" s="29"/>
      <c r="R2653" s="29"/>
      <c r="S2653" s="29"/>
    </row>
    <row r="2654" spans="13:19" ht="16.5" customHeight="1" x14ac:dyDescent="0.2">
      <c r="M2654" s="29"/>
      <c r="N2654" s="29"/>
      <c r="O2654" s="29"/>
      <c r="P2654" s="29"/>
      <c r="Q2654" s="29"/>
      <c r="R2654" s="29"/>
      <c r="S2654" s="29"/>
    </row>
    <row r="2655" spans="13:19" ht="16.5" customHeight="1" x14ac:dyDescent="0.2">
      <c r="M2655" s="29"/>
      <c r="N2655" s="29"/>
      <c r="O2655" s="29"/>
      <c r="P2655" s="29"/>
      <c r="Q2655" s="29"/>
      <c r="R2655" s="29"/>
      <c r="S2655" s="29"/>
    </row>
    <row r="2656" spans="13:19" ht="16.5" customHeight="1" x14ac:dyDescent="0.2">
      <c r="M2656" s="29"/>
      <c r="N2656" s="29"/>
      <c r="O2656" s="29"/>
      <c r="P2656" s="29"/>
      <c r="Q2656" s="29"/>
      <c r="R2656" s="29"/>
      <c r="S2656" s="29"/>
    </row>
    <row r="2657" spans="13:19" ht="16.5" customHeight="1" x14ac:dyDescent="0.2">
      <c r="M2657" s="29"/>
      <c r="N2657" s="29"/>
      <c r="O2657" s="29"/>
      <c r="P2657" s="29"/>
      <c r="Q2657" s="29"/>
      <c r="R2657" s="29"/>
      <c r="S2657" s="29"/>
    </row>
    <row r="2658" spans="13:19" ht="16.5" customHeight="1" x14ac:dyDescent="0.2">
      <c r="M2658" s="29"/>
      <c r="N2658" s="29"/>
      <c r="O2658" s="29"/>
      <c r="P2658" s="29"/>
      <c r="Q2658" s="29"/>
      <c r="R2658" s="29"/>
      <c r="S2658" s="29"/>
    </row>
    <row r="2659" spans="13:19" ht="16.5" customHeight="1" x14ac:dyDescent="0.2">
      <c r="M2659" s="29"/>
      <c r="N2659" s="29"/>
      <c r="O2659" s="29"/>
      <c r="P2659" s="29"/>
      <c r="Q2659" s="29"/>
      <c r="R2659" s="29"/>
      <c r="S2659" s="29"/>
    </row>
    <row r="2660" spans="13:19" ht="16.5" customHeight="1" x14ac:dyDescent="0.2">
      <c r="M2660" s="29"/>
      <c r="N2660" s="29"/>
      <c r="O2660" s="29"/>
      <c r="P2660" s="29"/>
      <c r="Q2660" s="29"/>
      <c r="R2660" s="29"/>
      <c r="S2660" s="29"/>
    </row>
    <row r="2661" spans="13:19" ht="16.5" customHeight="1" x14ac:dyDescent="0.2">
      <c r="M2661" s="29"/>
      <c r="N2661" s="29"/>
      <c r="O2661" s="29"/>
      <c r="P2661" s="29"/>
      <c r="Q2661" s="29"/>
      <c r="R2661" s="29"/>
      <c r="S2661" s="29"/>
    </row>
    <row r="2662" spans="13:19" ht="16.5" customHeight="1" x14ac:dyDescent="0.2">
      <c r="M2662" s="29"/>
      <c r="N2662" s="29"/>
      <c r="O2662" s="29"/>
      <c r="P2662" s="29"/>
      <c r="Q2662" s="29"/>
      <c r="R2662" s="29"/>
      <c r="S2662" s="29"/>
    </row>
    <row r="2663" spans="13:19" ht="16.5" customHeight="1" x14ac:dyDescent="0.2">
      <c r="M2663" s="29"/>
      <c r="N2663" s="29"/>
      <c r="O2663" s="29"/>
      <c r="P2663" s="29"/>
      <c r="Q2663" s="29"/>
      <c r="R2663" s="29"/>
      <c r="S2663" s="29"/>
    </row>
    <row r="2664" spans="13:19" ht="16.5" customHeight="1" x14ac:dyDescent="0.2">
      <c r="M2664" s="29"/>
      <c r="N2664" s="29"/>
      <c r="O2664" s="29"/>
      <c r="P2664" s="29"/>
      <c r="Q2664" s="29"/>
      <c r="R2664" s="29"/>
      <c r="S2664" s="29"/>
    </row>
    <row r="2665" spans="13:19" ht="16.5" customHeight="1" x14ac:dyDescent="0.2">
      <c r="M2665" s="29"/>
      <c r="N2665" s="29"/>
      <c r="O2665" s="29"/>
      <c r="P2665" s="29"/>
      <c r="Q2665" s="29"/>
      <c r="R2665" s="29"/>
      <c r="S2665" s="29"/>
    </row>
    <row r="2666" spans="13:19" ht="16.5" customHeight="1" x14ac:dyDescent="0.2">
      <c r="M2666" s="29"/>
      <c r="N2666" s="29"/>
      <c r="O2666" s="29"/>
      <c r="P2666" s="29"/>
      <c r="Q2666" s="29"/>
      <c r="R2666" s="29"/>
      <c r="S2666" s="29"/>
    </row>
    <row r="2667" spans="13:19" ht="16.5" customHeight="1" x14ac:dyDescent="0.2">
      <c r="M2667" s="29"/>
      <c r="N2667" s="29"/>
      <c r="O2667" s="29"/>
      <c r="P2667" s="29"/>
      <c r="Q2667" s="29"/>
      <c r="R2667" s="29"/>
      <c r="S2667" s="29"/>
    </row>
    <row r="2668" spans="13:19" ht="16.5" customHeight="1" x14ac:dyDescent="0.2">
      <c r="M2668" s="29"/>
      <c r="N2668" s="29"/>
      <c r="O2668" s="29"/>
      <c r="P2668" s="29"/>
      <c r="Q2668" s="29"/>
      <c r="R2668" s="29"/>
      <c r="S2668" s="29"/>
    </row>
    <row r="2669" spans="13:19" ht="16.5" customHeight="1" x14ac:dyDescent="0.2">
      <c r="M2669" s="29"/>
      <c r="N2669" s="29"/>
      <c r="O2669" s="29"/>
      <c r="P2669" s="29"/>
      <c r="Q2669" s="29"/>
      <c r="R2669" s="29"/>
      <c r="S2669" s="29"/>
    </row>
    <row r="2670" spans="13:19" ht="16.5" customHeight="1" x14ac:dyDescent="0.2">
      <c r="M2670" s="29"/>
      <c r="N2670" s="29"/>
      <c r="O2670" s="29"/>
      <c r="P2670" s="29"/>
      <c r="Q2670" s="29"/>
      <c r="R2670" s="29"/>
      <c r="S2670" s="29"/>
    </row>
    <row r="2671" spans="13:19" ht="16.5" customHeight="1" x14ac:dyDescent="0.2">
      <c r="M2671" s="29"/>
      <c r="N2671" s="29"/>
      <c r="O2671" s="29"/>
      <c r="P2671" s="29"/>
      <c r="Q2671" s="29"/>
      <c r="R2671" s="29"/>
      <c r="S2671" s="29"/>
    </row>
    <row r="2672" spans="13:19" ht="16.5" customHeight="1" x14ac:dyDescent="0.2">
      <c r="M2672" s="29"/>
      <c r="N2672" s="29"/>
      <c r="O2672" s="29"/>
      <c r="P2672" s="29"/>
      <c r="Q2672" s="29"/>
      <c r="R2672" s="29"/>
      <c r="S2672" s="29"/>
    </row>
    <row r="2673" spans="13:19" ht="16.5" customHeight="1" x14ac:dyDescent="0.2">
      <c r="M2673" s="29"/>
      <c r="N2673" s="29"/>
      <c r="O2673" s="29"/>
      <c r="P2673" s="29"/>
      <c r="Q2673" s="29"/>
      <c r="R2673" s="29"/>
      <c r="S2673" s="29"/>
    </row>
    <row r="2674" spans="13:19" ht="16.5" customHeight="1" x14ac:dyDescent="0.2">
      <c r="M2674" s="29"/>
      <c r="N2674" s="29"/>
      <c r="O2674" s="29"/>
      <c r="P2674" s="29"/>
      <c r="Q2674" s="29"/>
      <c r="R2674" s="29"/>
      <c r="S2674" s="29"/>
    </row>
    <row r="2675" spans="13:19" ht="16.5" customHeight="1" x14ac:dyDescent="0.2">
      <c r="M2675" s="29"/>
      <c r="N2675" s="29"/>
      <c r="O2675" s="29"/>
      <c r="P2675" s="29"/>
      <c r="Q2675" s="29"/>
      <c r="R2675" s="29"/>
      <c r="S2675" s="29"/>
    </row>
    <row r="2676" spans="13:19" ht="16.5" customHeight="1" x14ac:dyDescent="0.2">
      <c r="M2676" s="29"/>
      <c r="N2676" s="29"/>
      <c r="O2676" s="29"/>
      <c r="P2676" s="29"/>
      <c r="Q2676" s="29"/>
      <c r="R2676" s="29"/>
      <c r="S2676" s="29"/>
    </row>
    <row r="2677" spans="13:19" ht="16.5" customHeight="1" x14ac:dyDescent="0.2">
      <c r="M2677" s="29"/>
      <c r="N2677" s="29"/>
      <c r="O2677" s="29"/>
      <c r="P2677" s="29"/>
      <c r="Q2677" s="29"/>
      <c r="R2677" s="29"/>
      <c r="S2677" s="29"/>
    </row>
    <row r="2678" spans="13:19" ht="16.5" customHeight="1" x14ac:dyDescent="0.2">
      <c r="M2678" s="29"/>
      <c r="N2678" s="29"/>
      <c r="O2678" s="29"/>
      <c r="P2678" s="29"/>
      <c r="Q2678" s="29"/>
      <c r="R2678" s="29"/>
      <c r="S2678" s="29"/>
    </row>
    <row r="2679" spans="13:19" ht="16.5" customHeight="1" x14ac:dyDescent="0.2">
      <c r="M2679" s="29"/>
      <c r="N2679" s="29"/>
      <c r="O2679" s="29"/>
      <c r="P2679" s="29"/>
      <c r="Q2679" s="29"/>
      <c r="R2679" s="29"/>
      <c r="S2679" s="29"/>
    </row>
    <row r="2680" spans="13:19" ht="16.5" customHeight="1" x14ac:dyDescent="0.2">
      <c r="M2680" s="29"/>
      <c r="N2680" s="29"/>
      <c r="O2680" s="29"/>
      <c r="P2680" s="29"/>
      <c r="Q2680" s="29"/>
      <c r="R2680" s="29"/>
      <c r="S2680" s="29"/>
    </row>
    <row r="2681" spans="13:19" ht="16.5" customHeight="1" x14ac:dyDescent="0.2">
      <c r="M2681" s="29"/>
      <c r="N2681" s="29"/>
      <c r="O2681" s="29"/>
      <c r="P2681" s="29"/>
      <c r="Q2681" s="29"/>
      <c r="R2681" s="29"/>
      <c r="S2681" s="29"/>
    </row>
    <row r="2682" spans="13:19" ht="16.5" customHeight="1" x14ac:dyDescent="0.2">
      <c r="M2682" s="29"/>
      <c r="N2682" s="29"/>
      <c r="O2682" s="29"/>
      <c r="P2682" s="29"/>
      <c r="Q2682" s="29"/>
      <c r="R2682" s="29"/>
      <c r="S2682" s="29"/>
    </row>
    <row r="2683" spans="13:19" ht="16.5" customHeight="1" x14ac:dyDescent="0.2">
      <c r="M2683" s="29"/>
      <c r="N2683" s="29"/>
      <c r="O2683" s="29"/>
      <c r="P2683" s="29"/>
      <c r="Q2683" s="29"/>
      <c r="R2683" s="29"/>
      <c r="S2683" s="29"/>
    </row>
    <row r="2684" spans="13:19" ht="16.5" customHeight="1" x14ac:dyDescent="0.2">
      <c r="M2684" s="29"/>
      <c r="N2684" s="29"/>
      <c r="O2684" s="29"/>
      <c r="P2684" s="29"/>
      <c r="Q2684" s="29"/>
      <c r="R2684" s="29"/>
      <c r="S2684" s="29"/>
    </row>
    <row r="2685" spans="13:19" ht="16.5" customHeight="1" x14ac:dyDescent="0.2">
      <c r="M2685" s="29"/>
      <c r="N2685" s="29"/>
      <c r="O2685" s="29"/>
      <c r="P2685" s="29"/>
      <c r="Q2685" s="29"/>
      <c r="R2685" s="29"/>
      <c r="S2685" s="29"/>
    </row>
    <row r="2686" spans="13:19" ht="16.5" customHeight="1" x14ac:dyDescent="0.2">
      <c r="M2686" s="29"/>
      <c r="N2686" s="29"/>
      <c r="O2686" s="29"/>
      <c r="P2686" s="29"/>
      <c r="Q2686" s="29"/>
      <c r="R2686" s="29"/>
      <c r="S2686" s="29"/>
    </row>
    <row r="2687" spans="13:19" ht="16.5" customHeight="1" x14ac:dyDescent="0.2">
      <c r="M2687" s="29"/>
      <c r="N2687" s="29"/>
      <c r="O2687" s="29"/>
      <c r="P2687" s="29"/>
      <c r="Q2687" s="29"/>
      <c r="R2687" s="29"/>
      <c r="S2687" s="29"/>
    </row>
    <row r="2688" spans="13:19" ht="16.5" customHeight="1" x14ac:dyDescent="0.2">
      <c r="M2688" s="29"/>
      <c r="N2688" s="29"/>
      <c r="O2688" s="29"/>
      <c r="P2688" s="29"/>
      <c r="Q2688" s="29"/>
      <c r="R2688" s="29"/>
      <c r="S2688" s="29"/>
    </row>
    <row r="2689" spans="13:19" ht="16.5" customHeight="1" x14ac:dyDescent="0.2">
      <c r="M2689" s="29"/>
      <c r="N2689" s="29"/>
      <c r="O2689" s="29"/>
      <c r="P2689" s="29"/>
      <c r="Q2689" s="29"/>
      <c r="R2689" s="29"/>
      <c r="S2689" s="29"/>
    </row>
    <row r="2690" spans="13:19" ht="16.5" customHeight="1" x14ac:dyDescent="0.2">
      <c r="M2690" s="29"/>
      <c r="N2690" s="29"/>
      <c r="O2690" s="29"/>
      <c r="P2690" s="29"/>
      <c r="Q2690" s="29"/>
      <c r="R2690" s="29"/>
      <c r="S2690" s="29"/>
    </row>
    <row r="2691" spans="13:19" ht="16.5" customHeight="1" x14ac:dyDescent="0.2">
      <c r="M2691" s="29"/>
      <c r="N2691" s="29"/>
      <c r="O2691" s="29"/>
      <c r="P2691" s="29"/>
      <c r="Q2691" s="29"/>
      <c r="R2691" s="29"/>
      <c r="S2691" s="29"/>
    </row>
    <row r="2692" spans="13:19" ht="16.5" customHeight="1" x14ac:dyDescent="0.2">
      <c r="M2692" s="29"/>
      <c r="N2692" s="29"/>
      <c r="O2692" s="29"/>
      <c r="P2692" s="29"/>
      <c r="Q2692" s="29"/>
      <c r="R2692" s="29"/>
      <c r="S2692" s="29"/>
    </row>
    <row r="2693" spans="13:19" ht="16.5" customHeight="1" x14ac:dyDescent="0.2">
      <c r="M2693" s="29"/>
      <c r="N2693" s="29"/>
      <c r="O2693" s="29"/>
      <c r="P2693" s="29"/>
      <c r="Q2693" s="29"/>
      <c r="R2693" s="29"/>
      <c r="S2693" s="29"/>
    </row>
    <row r="2694" spans="13:19" ht="16.5" customHeight="1" x14ac:dyDescent="0.2">
      <c r="M2694" s="29"/>
      <c r="N2694" s="29"/>
      <c r="O2694" s="29"/>
      <c r="P2694" s="29"/>
      <c r="Q2694" s="29"/>
      <c r="R2694" s="29"/>
      <c r="S2694" s="29"/>
    </row>
    <row r="2695" spans="13:19" ht="16.5" customHeight="1" x14ac:dyDescent="0.2">
      <c r="M2695" s="29"/>
      <c r="N2695" s="29"/>
      <c r="O2695" s="29"/>
      <c r="P2695" s="29"/>
      <c r="Q2695" s="29"/>
      <c r="R2695" s="29"/>
      <c r="S2695" s="29"/>
    </row>
    <row r="2696" spans="13:19" ht="16.5" customHeight="1" x14ac:dyDescent="0.2">
      <c r="M2696" s="29"/>
      <c r="N2696" s="29"/>
      <c r="O2696" s="29"/>
      <c r="P2696" s="29"/>
      <c r="Q2696" s="29"/>
      <c r="R2696" s="29"/>
      <c r="S2696" s="29"/>
    </row>
    <row r="2697" spans="13:19" ht="16.5" customHeight="1" x14ac:dyDescent="0.2">
      <c r="M2697" s="29"/>
      <c r="N2697" s="29"/>
      <c r="O2697" s="29"/>
      <c r="P2697" s="29"/>
      <c r="Q2697" s="29"/>
      <c r="R2697" s="29"/>
      <c r="S2697" s="29"/>
    </row>
    <row r="2698" spans="13:19" ht="16.5" customHeight="1" x14ac:dyDescent="0.2">
      <c r="M2698" s="29"/>
      <c r="N2698" s="29"/>
      <c r="O2698" s="29"/>
      <c r="P2698" s="29"/>
      <c r="Q2698" s="29"/>
      <c r="R2698" s="29"/>
      <c r="S2698" s="29"/>
    </row>
    <row r="2699" spans="13:19" ht="16.5" customHeight="1" x14ac:dyDescent="0.2">
      <c r="M2699" s="29"/>
      <c r="N2699" s="29"/>
      <c r="O2699" s="29"/>
      <c r="P2699" s="29"/>
      <c r="Q2699" s="29"/>
      <c r="R2699" s="29"/>
      <c r="S2699" s="29"/>
    </row>
    <row r="2700" spans="13:19" ht="16.5" customHeight="1" x14ac:dyDescent="0.2">
      <c r="M2700" s="29"/>
      <c r="N2700" s="29"/>
      <c r="O2700" s="29"/>
      <c r="P2700" s="29"/>
      <c r="Q2700" s="29"/>
      <c r="R2700" s="29"/>
      <c r="S2700" s="29"/>
    </row>
    <row r="2701" spans="13:19" ht="16.5" customHeight="1" x14ac:dyDescent="0.2">
      <c r="M2701" s="29"/>
      <c r="N2701" s="29"/>
      <c r="O2701" s="29"/>
      <c r="P2701" s="29"/>
      <c r="Q2701" s="29"/>
      <c r="R2701" s="29"/>
      <c r="S2701" s="29"/>
    </row>
    <row r="2702" spans="13:19" ht="16.5" customHeight="1" x14ac:dyDescent="0.2">
      <c r="M2702" s="29"/>
      <c r="N2702" s="29"/>
      <c r="O2702" s="29"/>
      <c r="P2702" s="29"/>
      <c r="Q2702" s="29"/>
      <c r="R2702" s="29"/>
      <c r="S2702" s="29"/>
    </row>
    <row r="2703" spans="13:19" ht="16.5" customHeight="1" x14ac:dyDescent="0.2">
      <c r="M2703" s="29"/>
      <c r="N2703" s="29"/>
      <c r="O2703" s="29"/>
      <c r="P2703" s="29"/>
      <c r="Q2703" s="29"/>
      <c r="R2703" s="29"/>
      <c r="S2703" s="29"/>
    </row>
    <row r="2704" spans="13:19" ht="16.5" customHeight="1" x14ac:dyDescent="0.2">
      <c r="M2704" s="29"/>
      <c r="N2704" s="29"/>
      <c r="O2704" s="29"/>
      <c r="P2704" s="29"/>
      <c r="Q2704" s="29"/>
      <c r="R2704" s="29"/>
      <c r="S2704" s="29"/>
    </row>
    <row r="2705" spans="13:19" ht="16.5" customHeight="1" x14ac:dyDescent="0.2">
      <c r="M2705" s="29"/>
      <c r="N2705" s="29"/>
      <c r="O2705" s="29"/>
      <c r="P2705" s="29"/>
      <c r="Q2705" s="29"/>
      <c r="R2705" s="29"/>
      <c r="S2705" s="29"/>
    </row>
    <row r="2706" spans="13:19" ht="16.5" customHeight="1" x14ac:dyDescent="0.2">
      <c r="M2706" s="29"/>
      <c r="N2706" s="29"/>
      <c r="O2706" s="29"/>
      <c r="P2706" s="29"/>
      <c r="Q2706" s="29"/>
      <c r="R2706" s="29"/>
      <c r="S2706" s="29"/>
    </row>
    <row r="2707" spans="13:19" ht="16.5" customHeight="1" x14ac:dyDescent="0.2">
      <c r="M2707" s="29"/>
      <c r="N2707" s="29"/>
      <c r="O2707" s="29"/>
      <c r="P2707" s="29"/>
      <c r="Q2707" s="29"/>
      <c r="R2707" s="29"/>
      <c r="S2707" s="29"/>
    </row>
    <row r="2708" spans="13:19" ht="16.5" customHeight="1" x14ac:dyDescent="0.2">
      <c r="M2708" s="29"/>
      <c r="N2708" s="29"/>
      <c r="O2708" s="29"/>
      <c r="P2708" s="29"/>
      <c r="Q2708" s="29"/>
      <c r="R2708" s="29"/>
      <c r="S2708" s="29"/>
    </row>
    <row r="2709" spans="13:19" ht="16.5" customHeight="1" x14ac:dyDescent="0.2">
      <c r="M2709" s="29"/>
      <c r="N2709" s="29"/>
      <c r="O2709" s="29"/>
      <c r="P2709" s="29"/>
      <c r="Q2709" s="29"/>
      <c r="R2709" s="29"/>
      <c r="S2709" s="29"/>
    </row>
    <row r="2710" spans="13:19" ht="16.5" customHeight="1" x14ac:dyDescent="0.2">
      <c r="M2710" s="29"/>
      <c r="N2710" s="29"/>
      <c r="O2710" s="29"/>
      <c r="P2710" s="29"/>
      <c r="Q2710" s="29"/>
      <c r="R2710" s="29"/>
      <c r="S2710" s="29"/>
    </row>
    <row r="2711" spans="13:19" ht="16.5" customHeight="1" x14ac:dyDescent="0.2">
      <c r="M2711" s="29"/>
      <c r="N2711" s="29"/>
      <c r="O2711" s="29"/>
      <c r="P2711" s="29"/>
      <c r="Q2711" s="29"/>
      <c r="R2711" s="29"/>
      <c r="S2711" s="29"/>
    </row>
    <row r="2712" spans="13:19" ht="16.5" customHeight="1" x14ac:dyDescent="0.2">
      <c r="M2712" s="29"/>
      <c r="N2712" s="29"/>
      <c r="O2712" s="29"/>
      <c r="P2712" s="29"/>
      <c r="Q2712" s="29"/>
      <c r="R2712" s="29"/>
      <c r="S2712" s="29"/>
    </row>
    <row r="2713" spans="13:19" ht="16.5" customHeight="1" x14ac:dyDescent="0.2">
      <c r="M2713" s="29"/>
      <c r="N2713" s="29"/>
      <c r="O2713" s="29"/>
      <c r="P2713" s="29"/>
      <c r="Q2713" s="29"/>
      <c r="R2713" s="29"/>
      <c r="S2713" s="29"/>
    </row>
    <row r="2714" spans="13:19" ht="16.5" customHeight="1" x14ac:dyDescent="0.2">
      <c r="M2714" s="29"/>
      <c r="N2714" s="29"/>
      <c r="O2714" s="29"/>
      <c r="P2714" s="29"/>
      <c r="Q2714" s="29"/>
      <c r="R2714" s="29"/>
      <c r="S2714" s="29"/>
    </row>
    <row r="2715" spans="13:19" ht="16.5" customHeight="1" x14ac:dyDescent="0.2">
      <c r="M2715" s="29"/>
      <c r="N2715" s="29"/>
      <c r="O2715" s="29"/>
      <c r="P2715" s="29"/>
      <c r="Q2715" s="29"/>
      <c r="R2715" s="29"/>
      <c r="S2715" s="29"/>
    </row>
    <row r="2716" spans="13:19" ht="16.5" customHeight="1" x14ac:dyDescent="0.2">
      <c r="M2716" s="29"/>
      <c r="N2716" s="29"/>
      <c r="O2716" s="29"/>
      <c r="P2716" s="29"/>
      <c r="Q2716" s="29"/>
      <c r="R2716" s="29"/>
      <c r="S2716" s="29"/>
    </row>
    <row r="2717" spans="13:19" ht="16.5" customHeight="1" x14ac:dyDescent="0.2">
      <c r="M2717" s="29"/>
      <c r="N2717" s="29"/>
      <c r="O2717" s="29"/>
      <c r="P2717" s="29"/>
      <c r="Q2717" s="29"/>
      <c r="R2717" s="29"/>
      <c r="S2717" s="29"/>
    </row>
    <row r="2718" spans="13:19" ht="16.5" customHeight="1" x14ac:dyDescent="0.2">
      <c r="M2718" s="29"/>
      <c r="N2718" s="29"/>
      <c r="O2718" s="29"/>
      <c r="P2718" s="29"/>
      <c r="Q2718" s="29"/>
      <c r="R2718" s="29"/>
      <c r="S2718" s="29"/>
    </row>
    <row r="2719" spans="13:19" ht="16.5" customHeight="1" x14ac:dyDescent="0.2">
      <c r="M2719" s="29"/>
      <c r="N2719" s="29"/>
      <c r="O2719" s="29"/>
      <c r="P2719" s="29"/>
      <c r="Q2719" s="29"/>
      <c r="R2719" s="29"/>
      <c r="S2719" s="29"/>
    </row>
    <row r="2720" spans="13:19" ht="16.5" customHeight="1" x14ac:dyDescent="0.2">
      <c r="M2720" s="29"/>
      <c r="N2720" s="29"/>
      <c r="O2720" s="29"/>
      <c r="P2720" s="29"/>
      <c r="Q2720" s="29"/>
      <c r="R2720" s="29"/>
      <c r="S2720" s="29"/>
    </row>
    <row r="2721" spans="13:19" ht="16.5" customHeight="1" x14ac:dyDescent="0.2">
      <c r="M2721" s="29"/>
      <c r="N2721" s="29"/>
      <c r="O2721" s="29"/>
      <c r="P2721" s="29"/>
      <c r="Q2721" s="29"/>
      <c r="R2721" s="29"/>
      <c r="S2721" s="29"/>
    </row>
    <row r="2722" spans="13:19" ht="16.5" customHeight="1" x14ac:dyDescent="0.2">
      <c r="M2722" s="29"/>
      <c r="N2722" s="29"/>
      <c r="O2722" s="29"/>
      <c r="P2722" s="29"/>
      <c r="Q2722" s="29"/>
      <c r="R2722" s="29"/>
      <c r="S2722" s="29"/>
    </row>
    <row r="2723" spans="13:19" ht="16.5" customHeight="1" x14ac:dyDescent="0.2">
      <c r="M2723" s="29"/>
      <c r="N2723" s="29"/>
      <c r="O2723" s="29"/>
      <c r="P2723" s="29"/>
      <c r="Q2723" s="29"/>
      <c r="R2723" s="29"/>
      <c r="S2723" s="29"/>
    </row>
    <row r="2724" spans="13:19" ht="16.5" customHeight="1" x14ac:dyDescent="0.2">
      <c r="M2724" s="29"/>
      <c r="N2724" s="29"/>
      <c r="O2724" s="29"/>
      <c r="P2724" s="29"/>
      <c r="Q2724" s="29"/>
      <c r="R2724" s="29"/>
      <c r="S2724" s="29"/>
    </row>
    <row r="2725" spans="13:19" ht="16.5" customHeight="1" x14ac:dyDescent="0.2">
      <c r="M2725" s="29"/>
      <c r="N2725" s="29"/>
      <c r="O2725" s="29"/>
      <c r="P2725" s="29"/>
      <c r="Q2725" s="29"/>
      <c r="R2725" s="29"/>
      <c r="S2725" s="29"/>
    </row>
    <row r="2726" spans="13:19" ht="16.5" customHeight="1" x14ac:dyDescent="0.2">
      <c r="M2726" s="29"/>
      <c r="N2726" s="29"/>
      <c r="O2726" s="29"/>
      <c r="P2726" s="29"/>
      <c r="Q2726" s="29"/>
      <c r="R2726" s="29"/>
      <c r="S2726" s="29"/>
    </row>
    <row r="2727" spans="13:19" ht="16.5" customHeight="1" x14ac:dyDescent="0.2">
      <c r="M2727" s="29"/>
      <c r="N2727" s="29"/>
      <c r="O2727" s="29"/>
      <c r="P2727" s="29"/>
      <c r="Q2727" s="29"/>
      <c r="R2727" s="29"/>
      <c r="S2727" s="29"/>
    </row>
    <row r="2728" spans="13:19" ht="16.5" customHeight="1" x14ac:dyDescent="0.2">
      <c r="M2728" s="29"/>
      <c r="N2728" s="29"/>
      <c r="O2728" s="29"/>
      <c r="P2728" s="29"/>
      <c r="Q2728" s="29"/>
      <c r="R2728" s="29"/>
      <c r="S2728" s="29"/>
    </row>
    <row r="2729" spans="13:19" ht="16.5" customHeight="1" x14ac:dyDescent="0.2">
      <c r="M2729" s="29"/>
      <c r="N2729" s="29"/>
      <c r="O2729" s="29"/>
      <c r="P2729" s="29"/>
      <c r="Q2729" s="29"/>
      <c r="R2729" s="29"/>
      <c r="S2729" s="29"/>
    </row>
    <row r="2730" spans="13:19" ht="16.5" customHeight="1" x14ac:dyDescent="0.2">
      <c r="M2730" s="29"/>
      <c r="N2730" s="29"/>
      <c r="O2730" s="29"/>
      <c r="P2730" s="29"/>
      <c r="Q2730" s="29"/>
      <c r="R2730" s="29"/>
      <c r="S2730" s="29"/>
    </row>
    <row r="2731" spans="13:19" ht="16.5" customHeight="1" x14ac:dyDescent="0.2">
      <c r="M2731" s="29"/>
      <c r="N2731" s="29"/>
      <c r="O2731" s="29"/>
      <c r="P2731" s="29"/>
      <c r="Q2731" s="29"/>
      <c r="R2731" s="29"/>
      <c r="S2731" s="29"/>
    </row>
    <row r="2732" spans="13:19" ht="16.5" customHeight="1" x14ac:dyDescent="0.2">
      <c r="M2732" s="29"/>
      <c r="N2732" s="29"/>
      <c r="O2732" s="29"/>
      <c r="P2732" s="29"/>
      <c r="Q2732" s="29"/>
      <c r="R2732" s="29"/>
      <c r="S2732" s="29"/>
    </row>
    <row r="2733" spans="13:19" ht="16.5" customHeight="1" x14ac:dyDescent="0.2">
      <c r="M2733" s="29"/>
      <c r="N2733" s="29"/>
      <c r="O2733" s="29"/>
      <c r="P2733" s="29"/>
      <c r="Q2733" s="29"/>
      <c r="R2733" s="29"/>
      <c r="S2733" s="29"/>
    </row>
    <row r="2734" spans="13:19" ht="16.5" customHeight="1" x14ac:dyDescent="0.2">
      <c r="M2734" s="29"/>
      <c r="N2734" s="29"/>
      <c r="O2734" s="29"/>
      <c r="P2734" s="29"/>
      <c r="Q2734" s="29"/>
      <c r="R2734" s="29"/>
      <c r="S2734" s="29"/>
    </row>
    <row r="2735" spans="13:19" ht="16.5" customHeight="1" x14ac:dyDescent="0.2">
      <c r="M2735" s="29"/>
      <c r="N2735" s="29"/>
      <c r="O2735" s="29"/>
      <c r="P2735" s="29"/>
      <c r="Q2735" s="29"/>
      <c r="R2735" s="29"/>
      <c r="S2735" s="29"/>
    </row>
    <row r="2736" spans="13:19" ht="16.5" customHeight="1" x14ac:dyDescent="0.2">
      <c r="M2736" s="29"/>
      <c r="N2736" s="29"/>
      <c r="O2736" s="29"/>
      <c r="P2736" s="29"/>
      <c r="Q2736" s="29"/>
      <c r="R2736" s="29"/>
      <c r="S2736" s="29"/>
    </row>
    <row r="2737" spans="13:19" ht="16.5" customHeight="1" x14ac:dyDescent="0.2">
      <c r="M2737" s="29"/>
      <c r="N2737" s="29"/>
      <c r="O2737" s="29"/>
      <c r="P2737" s="29"/>
      <c r="Q2737" s="29"/>
      <c r="R2737" s="29"/>
      <c r="S2737" s="29"/>
    </row>
    <row r="2738" spans="13:19" ht="16.5" customHeight="1" x14ac:dyDescent="0.2">
      <c r="M2738" s="29"/>
      <c r="N2738" s="29"/>
      <c r="O2738" s="29"/>
      <c r="P2738" s="29"/>
      <c r="Q2738" s="29"/>
      <c r="R2738" s="29"/>
      <c r="S2738" s="29"/>
    </row>
    <row r="2739" spans="13:19" ht="16.5" customHeight="1" x14ac:dyDescent="0.2">
      <c r="M2739" s="29"/>
      <c r="N2739" s="29"/>
      <c r="O2739" s="29"/>
      <c r="P2739" s="29"/>
      <c r="Q2739" s="29"/>
      <c r="R2739" s="29"/>
      <c r="S2739" s="29"/>
    </row>
    <row r="2740" spans="13:19" ht="16.5" customHeight="1" x14ac:dyDescent="0.2">
      <c r="M2740" s="29"/>
      <c r="N2740" s="29"/>
      <c r="O2740" s="29"/>
      <c r="P2740" s="29"/>
      <c r="Q2740" s="29"/>
      <c r="R2740" s="29"/>
      <c r="S2740" s="29"/>
    </row>
    <row r="2741" spans="13:19" ht="16.5" customHeight="1" x14ac:dyDescent="0.2">
      <c r="M2741" s="29"/>
      <c r="N2741" s="29"/>
      <c r="O2741" s="29"/>
      <c r="P2741" s="29"/>
      <c r="Q2741" s="29"/>
      <c r="R2741" s="29"/>
      <c r="S2741" s="29"/>
    </row>
    <row r="2742" spans="13:19" ht="16.5" customHeight="1" x14ac:dyDescent="0.2">
      <c r="M2742" s="29"/>
      <c r="N2742" s="29"/>
      <c r="O2742" s="29"/>
      <c r="P2742" s="29"/>
      <c r="Q2742" s="29"/>
      <c r="R2742" s="29"/>
      <c r="S2742" s="29"/>
    </row>
    <row r="2743" spans="13:19" ht="16.5" customHeight="1" x14ac:dyDescent="0.2">
      <c r="M2743" s="29"/>
      <c r="N2743" s="29"/>
      <c r="O2743" s="29"/>
      <c r="P2743" s="29"/>
      <c r="Q2743" s="29"/>
      <c r="R2743" s="29"/>
      <c r="S2743" s="29"/>
    </row>
    <row r="2744" spans="13:19" ht="16.5" customHeight="1" x14ac:dyDescent="0.2">
      <c r="M2744" s="29"/>
      <c r="N2744" s="29"/>
      <c r="O2744" s="29"/>
      <c r="P2744" s="29"/>
      <c r="Q2744" s="29"/>
      <c r="R2744" s="29"/>
      <c r="S2744" s="29"/>
    </row>
    <row r="2745" spans="13:19" ht="16.5" customHeight="1" x14ac:dyDescent="0.2">
      <c r="M2745" s="29"/>
      <c r="N2745" s="29"/>
      <c r="O2745" s="29"/>
      <c r="P2745" s="29"/>
      <c r="Q2745" s="29"/>
      <c r="R2745" s="29"/>
      <c r="S2745" s="29"/>
    </row>
    <row r="2746" spans="13:19" ht="16.5" customHeight="1" x14ac:dyDescent="0.2">
      <c r="M2746" s="29"/>
      <c r="N2746" s="29"/>
      <c r="O2746" s="29"/>
      <c r="P2746" s="29"/>
      <c r="Q2746" s="29"/>
      <c r="R2746" s="29"/>
      <c r="S2746" s="29"/>
    </row>
    <row r="2747" spans="13:19" ht="16.5" customHeight="1" x14ac:dyDescent="0.2">
      <c r="M2747" s="29"/>
      <c r="N2747" s="29"/>
      <c r="O2747" s="29"/>
      <c r="P2747" s="29"/>
      <c r="Q2747" s="29"/>
      <c r="R2747" s="29"/>
      <c r="S2747" s="29"/>
    </row>
    <row r="2748" spans="13:19" ht="16.5" customHeight="1" x14ac:dyDescent="0.2">
      <c r="M2748" s="29"/>
      <c r="N2748" s="29"/>
      <c r="O2748" s="29"/>
      <c r="P2748" s="29"/>
      <c r="Q2748" s="29"/>
      <c r="R2748" s="29"/>
      <c r="S2748" s="29"/>
    </row>
    <row r="2749" spans="13:19" ht="16.5" customHeight="1" x14ac:dyDescent="0.2">
      <c r="M2749" s="29"/>
      <c r="N2749" s="29"/>
      <c r="O2749" s="29"/>
      <c r="P2749" s="29"/>
      <c r="Q2749" s="29"/>
      <c r="R2749" s="29"/>
      <c r="S2749" s="29"/>
    </row>
    <row r="2750" spans="13:19" ht="16.5" customHeight="1" x14ac:dyDescent="0.2">
      <c r="M2750" s="29"/>
      <c r="N2750" s="29"/>
      <c r="O2750" s="29"/>
      <c r="P2750" s="29"/>
      <c r="Q2750" s="29"/>
      <c r="R2750" s="29"/>
      <c r="S2750" s="29"/>
    </row>
    <row r="2751" spans="13:19" ht="16.5" customHeight="1" x14ac:dyDescent="0.2">
      <c r="M2751" s="29"/>
      <c r="N2751" s="29"/>
      <c r="O2751" s="29"/>
      <c r="P2751" s="29"/>
      <c r="Q2751" s="29"/>
      <c r="R2751" s="29"/>
      <c r="S2751" s="29"/>
    </row>
    <row r="2752" spans="13:19" ht="16.5" customHeight="1" x14ac:dyDescent="0.2">
      <c r="M2752" s="29"/>
      <c r="N2752" s="29"/>
      <c r="O2752" s="29"/>
      <c r="P2752" s="29"/>
      <c r="Q2752" s="29"/>
      <c r="R2752" s="29"/>
      <c r="S2752" s="29"/>
    </row>
    <row r="2753" spans="13:19" ht="16.5" customHeight="1" x14ac:dyDescent="0.2">
      <c r="M2753" s="29"/>
      <c r="N2753" s="29"/>
      <c r="O2753" s="29"/>
      <c r="P2753" s="29"/>
      <c r="Q2753" s="29"/>
      <c r="R2753" s="29"/>
      <c r="S2753" s="29"/>
    </row>
    <row r="2754" spans="13:19" ht="16.5" customHeight="1" x14ac:dyDescent="0.2">
      <c r="M2754" s="29"/>
      <c r="N2754" s="29"/>
      <c r="O2754" s="29"/>
      <c r="P2754" s="29"/>
      <c r="Q2754" s="29"/>
      <c r="R2754" s="29"/>
      <c r="S2754" s="29"/>
    </row>
    <row r="2755" spans="13:19" ht="16.5" customHeight="1" x14ac:dyDescent="0.2">
      <c r="M2755" s="29"/>
      <c r="N2755" s="29"/>
      <c r="O2755" s="29"/>
      <c r="P2755" s="29"/>
      <c r="Q2755" s="29"/>
      <c r="R2755" s="29"/>
      <c r="S2755" s="29"/>
    </row>
    <row r="2756" spans="13:19" ht="16.5" customHeight="1" x14ac:dyDescent="0.2">
      <c r="M2756" s="29"/>
      <c r="N2756" s="29"/>
      <c r="O2756" s="29"/>
      <c r="P2756" s="29"/>
      <c r="Q2756" s="29"/>
      <c r="R2756" s="29"/>
      <c r="S2756" s="29"/>
    </row>
    <row r="2757" spans="13:19" ht="16.5" customHeight="1" x14ac:dyDescent="0.2">
      <c r="M2757" s="29"/>
      <c r="N2757" s="29"/>
      <c r="O2757" s="29"/>
      <c r="P2757" s="29"/>
      <c r="Q2757" s="29"/>
      <c r="R2757" s="29"/>
      <c r="S2757" s="29"/>
    </row>
    <row r="2758" spans="13:19" ht="16.5" customHeight="1" x14ac:dyDescent="0.2">
      <c r="M2758" s="29"/>
      <c r="N2758" s="29"/>
      <c r="O2758" s="29"/>
      <c r="P2758" s="29"/>
      <c r="Q2758" s="29"/>
      <c r="R2758" s="29"/>
      <c r="S2758" s="29"/>
    </row>
    <row r="2759" spans="13:19" ht="16.5" customHeight="1" x14ac:dyDescent="0.2">
      <c r="M2759" s="29"/>
      <c r="N2759" s="29"/>
      <c r="O2759" s="29"/>
      <c r="P2759" s="29"/>
      <c r="Q2759" s="29"/>
      <c r="R2759" s="29"/>
      <c r="S2759" s="29"/>
    </row>
    <row r="2760" spans="13:19" ht="16.5" customHeight="1" x14ac:dyDescent="0.2">
      <c r="M2760" s="29"/>
      <c r="N2760" s="29"/>
      <c r="O2760" s="29"/>
      <c r="P2760" s="29"/>
      <c r="Q2760" s="29"/>
      <c r="R2760" s="29"/>
      <c r="S2760" s="29"/>
    </row>
    <row r="2761" spans="13:19" ht="16.5" customHeight="1" x14ac:dyDescent="0.2">
      <c r="M2761" s="29"/>
      <c r="N2761" s="29"/>
      <c r="O2761" s="29"/>
      <c r="P2761" s="29"/>
      <c r="Q2761" s="29"/>
      <c r="R2761" s="29"/>
      <c r="S2761" s="29"/>
    </row>
    <row r="2762" spans="13:19" ht="16.5" customHeight="1" x14ac:dyDescent="0.2">
      <c r="M2762" s="29"/>
      <c r="N2762" s="29"/>
      <c r="O2762" s="29"/>
      <c r="P2762" s="29"/>
      <c r="Q2762" s="29"/>
      <c r="R2762" s="29"/>
      <c r="S2762" s="29"/>
    </row>
    <row r="2763" spans="13:19" ht="16.5" customHeight="1" x14ac:dyDescent="0.2">
      <c r="M2763" s="29"/>
      <c r="N2763" s="29"/>
      <c r="O2763" s="29"/>
      <c r="P2763" s="29"/>
      <c r="Q2763" s="29"/>
      <c r="R2763" s="29"/>
      <c r="S2763" s="29"/>
    </row>
    <row r="2764" spans="13:19" ht="16.5" customHeight="1" x14ac:dyDescent="0.2">
      <c r="M2764" s="29"/>
      <c r="N2764" s="29"/>
      <c r="O2764" s="29"/>
      <c r="P2764" s="29"/>
      <c r="Q2764" s="29"/>
      <c r="R2764" s="29"/>
      <c r="S2764" s="29"/>
    </row>
    <row r="2765" spans="13:19" ht="16.5" customHeight="1" x14ac:dyDescent="0.2">
      <c r="M2765" s="29"/>
      <c r="N2765" s="29"/>
      <c r="O2765" s="29"/>
      <c r="P2765" s="29"/>
      <c r="Q2765" s="29"/>
      <c r="R2765" s="29"/>
      <c r="S2765" s="29"/>
    </row>
    <row r="2766" spans="13:19" ht="16.5" customHeight="1" x14ac:dyDescent="0.2">
      <c r="M2766" s="29"/>
      <c r="N2766" s="29"/>
      <c r="O2766" s="29"/>
      <c r="P2766" s="29"/>
      <c r="Q2766" s="29"/>
      <c r="R2766" s="29"/>
      <c r="S2766" s="29"/>
    </row>
    <row r="2767" spans="13:19" ht="16.5" customHeight="1" x14ac:dyDescent="0.2">
      <c r="M2767" s="29"/>
      <c r="N2767" s="29"/>
      <c r="O2767" s="29"/>
      <c r="P2767" s="29"/>
      <c r="Q2767" s="29"/>
      <c r="R2767" s="29"/>
      <c r="S2767" s="29"/>
    </row>
    <row r="2768" spans="13:19" ht="16.5" customHeight="1" x14ac:dyDescent="0.2">
      <c r="M2768" s="29"/>
      <c r="N2768" s="29"/>
      <c r="O2768" s="29"/>
      <c r="P2768" s="29"/>
      <c r="Q2768" s="29"/>
      <c r="R2768" s="29"/>
      <c r="S2768" s="29"/>
    </row>
    <row r="2769" spans="13:19" ht="16.5" customHeight="1" x14ac:dyDescent="0.2">
      <c r="M2769" s="29"/>
      <c r="N2769" s="29"/>
      <c r="O2769" s="29"/>
      <c r="P2769" s="29"/>
      <c r="Q2769" s="29"/>
      <c r="R2769" s="29"/>
      <c r="S2769" s="29"/>
    </row>
    <row r="2770" spans="13:19" ht="16.5" customHeight="1" x14ac:dyDescent="0.2">
      <c r="M2770" s="29"/>
      <c r="N2770" s="29"/>
      <c r="O2770" s="29"/>
      <c r="P2770" s="29"/>
      <c r="Q2770" s="29"/>
      <c r="R2770" s="29"/>
      <c r="S2770" s="29"/>
    </row>
    <row r="2771" spans="13:19" ht="16.5" customHeight="1" x14ac:dyDescent="0.2">
      <c r="M2771" s="29"/>
      <c r="N2771" s="29"/>
      <c r="O2771" s="29"/>
      <c r="P2771" s="29"/>
      <c r="Q2771" s="29"/>
      <c r="R2771" s="29"/>
      <c r="S2771" s="29"/>
    </row>
    <row r="2772" spans="13:19" ht="16.5" customHeight="1" x14ac:dyDescent="0.2">
      <c r="M2772" s="29"/>
      <c r="N2772" s="29"/>
      <c r="O2772" s="29"/>
      <c r="P2772" s="29"/>
      <c r="Q2772" s="29"/>
      <c r="R2772" s="29"/>
      <c r="S2772" s="29"/>
    </row>
    <row r="2773" spans="13:19" ht="16.5" customHeight="1" x14ac:dyDescent="0.2">
      <c r="M2773" s="29"/>
      <c r="N2773" s="29"/>
      <c r="O2773" s="29"/>
      <c r="P2773" s="29"/>
      <c r="Q2773" s="29"/>
      <c r="R2773" s="29"/>
      <c r="S2773" s="29"/>
    </row>
    <row r="2774" spans="13:19" ht="16.5" customHeight="1" x14ac:dyDescent="0.2">
      <c r="M2774" s="29"/>
      <c r="N2774" s="29"/>
      <c r="O2774" s="29"/>
      <c r="P2774" s="29"/>
      <c r="Q2774" s="29"/>
      <c r="R2774" s="29"/>
      <c r="S2774" s="29"/>
    </row>
    <row r="2775" spans="13:19" ht="16.5" customHeight="1" x14ac:dyDescent="0.2">
      <c r="M2775" s="29"/>
      <c r="N2775" s="29"/>
      <c r="O2775" s="29"/>
      <c r="P2775" s="29"/>
      <c r="Q2775" s="29"/>
      <c r="R2775" s="29"/>
      <c r="S2775" s="29"/>
    </row>
    <row r="2776" spans="13:19" ht="16.5" customHeight="1" x14ac:dyDescent="0.2">
      <c r="M2776" s="29"/>
      <c r="N2776" s="29"/>
      <c r="O2776" s="29"/>
      <c r="P2776" s="29"/>
      <c r="Q2776" s="29"/>
      <c r="R2776" s="29"/>
      <c r="S2776" s="29"/>
    </row>
    <row r="2777" spans="13:19" ht="16.5" customHeight="1" x14ac:dyDescent="0.2">
      <c r="M2777" s="29"/>
      <c r="N2777" s="29"/>
      <c r="O2777" s="29"/>
      <c r="P2777" s="29"/>
      <c r="Q2777" s="29"/>
      <c r="R2777" s="29"/>
      <c r="S2777" s="29"/>
    </row>
    <row r="2778" spans="13:19" ht="16.5" customHeight="1" x14ac:dyDescent="0.2">
      <c r="M2778" s="29"/>
      <c r="N2778" s="29"/>
      <c r="O2778" s="29"/>
      <c r="P2778" s="29"/>
      <c r="Q2778" s="29"/>
      <c r="R2778" s="29"/>
      <c r="S2778" s="29"/>
    </row>
    <row r="2779" spans="13:19" ht="16.5" customHeight="1" x14ac:dyDescent="0.2">
      <c r="M2779" s="29"/>
      <c r="N2779" s="29"/>
      <c r="O2779" s="29"/>
      <c r="P2779" s="29"/>
      <c r="Q2779" s="29"/>
      <c r="R2779" s="29"/>
      <c r="S2779" s="29"/>
    </row>
    <row r="2780" spans="13:19" ht="16.5" customHeight="1" x14ac:dyDescent="0.2">
      <c r="M2780" s="29"/>
      <c r="N2780" s="29"/>
      <c r="O2780" s="29"/>
      <c r="P2780" s="29"/>
      <c r="Q2780" s="29"/>
      <c r="R2780" s="29"/>
      <c r="S2780" s="29"/>
    </row>
    <row r="2781" spans="13:19" ht="16.5" customHeight="1" x14ac:dyDescent="0.2">
      <c r="M2781" s="29"/>
      <c r="N2781" s="29"/>
      <c r="O2781" s="29"/>
      <c r="P2781" s="29"/>
      <c r="Q2781" s="29"/>
      <c r="R2781" s="29"/>
      <c r="S2781" s="29"/>
    </row>
    <row r="2782" spans="13:19" ht="16.5" customHeight="1" x14ac:dyDescent="0.2">
      <c r="M2782" s="29"/>
      <c r="N2782" s="29"/>
      <c r="O2782" s="29"/>
      <c r="P2782" s="29"/>
      <c r="Q2782" s="29"/>
      <c r="R2782" s="29"/>
      <c r="S2782" s="29"/>
    </row>
    <row r="2783" spans="13:19" ht="16.5" customHeight="1" x14ac:dyDescent="0.2">
      <c r="M2783" s="29"/>
      <c r="N2783" s="29"/>
      <c r="O2783" s="29"/>
      <c r="P2783" s="29"/>
      <c r="Q2783" s="29"/>
      <c r="R2783" s="29"/>
      <c r="S2783" s="29"/>
    </row>
    <row r="2784" spans="13:19" ht="16.5" customHeight="1" x14ac:dyDescent="0.2">
      <c r="M2784" s="29"/>
      <c r="N2784" s="29"/>
      <c r="O2784" s="29"/>
      <c r="P2784" s="29"/>
      <c r="Q2784" s="29"/>
      <c r="R2784" s="29"/>
      <c r="S2784" s="29"/>
    </row>
    <row r="2785" spans="13:19" ht="16.5" customHeight="1" x14ac:dyDescent="0.2">
      <c r="M2785" s="29"/>
      <c r="N2785" s="29"/>
      <c r="O2785" s="29"/>
      <c r="P2785" s="29"/>
      <c r="Q2785" s="29"/>
      <c r="R2785" s="29"/>
      <c r="S2785" s="29"/>
    </row>
    <row r="2786" spans="13:19" ht="16.5" customHeight="1" x14ac:dyDescent="0.2">
      <c r="M2786" s="29"/>
      <c r="N2786" s="29"/>
      <c r="O2786" s="29"/>
      <c r="P2786" s="29"/>
      <c r="Q2786" s="29"/>
      <c r="R2786" s="29"/>
      <c r="S2786" s="29"/>
    </row>
    <row r="2787" spans="13:19" ht="16.5" customHeight="1" x14ac:dyDescent="0.2">
      <c r="M2787" s="29"/>
      <c r="N2787" s="29"/>
      <c r="O2787" s="29"/>
      <c r="P2787" s="29"/>
      <c r="Q2787" s="29"/>
      <c r="R2787" s="29"/>
      <c r="S2787" s="29"/>
    </row>
    <row r="2788" spans="13:19" ht="16.5" customHeight="1" x14ac:dyDescent="0.2">
      <c r="M2788" s="29"/>
      <c r="N2788" s="29"/>
      <c r="O2788" s="29"/>
      <c r="P2788" s="29"/>
      <c r="Q2788" s="29"/>
      <c r="R2788" s="29"/>
      <c r="S2788" s="29"/>
    </row>
    <row r="2789" spans="13:19" ht="16.5" customHeight="1" x14ac:dyDescent="0.2">
      <c r="M2789" s="29"/>
      <c r="N2789" s="29"/>
      <c r="O2789" s="29"/>
      <c r="P2789" s="29"/>
      <c r="Q2789" s="29"/>
      <c r="R2789" s="29"/>
      <c r="S2789" s="29"/>
    </row>
    <row r="2790" spans="13:19" ht="16.5" customHeight="1" x14ac:dyDescent="0.2">
      <c r="M2790" s="29"/>
      <c r="N2790" s="29"/>
      <c r="O2790" s="29"/>
      <c r="P2790" s="29"/>
      <c r="Q2790" s="29"/>
      <c r="R2790" s="29"/>
      <c r="S2790" s="29"/>
    </row>
    <row r="2791" spans="13:19" ht="16.5" customHeight="1" x14ac:dyDescent="0.2">
      <c r="M2791" s="29"/>
      <c r="N2791" s="29"/>
      <c r="O2791" s="29"/>
      <c r="P2791" s="29"/>
      <c r="Q2791" s="29"/>
      <c r="R2791" s="29"/>
      <c r="S2791" s="29"/>
    </row>
    <row r="2792" spans="13:19" ht="16.5" customHeight="1" x14ac:dyDescent="0.2">
      <c r="M2792" s="29"/>
      <c r="N2792" s="29"/>
      <c r="O2792" s="29"/>
      <c r="P2792" s="29"/>
      <c r="Q2792" s="29"/>
      <c r="R2792" s="29"/>
      <c r="S2792" s="29"/>
    </row>
    <row r="2793" spans="13:19" ht="16.5" customHeight="1" x14ac:dyDescent="0.2">
      <c r="M2793" s="29"/>
      <c r="N2793" s="29"/>
      <c r="O2793" s="29"/>
      <c r="P2793" s="29"/>
      <c r="Q2793" s="29"/>
      <c r="R2793" s="29"/>
      <c r="S2793" s="29"/>
    </row>
    <row r="2794" spans="13:19" ht="16.5" customHeight="1" x14ac:dyDescent="0.2">
      <c r="M2794" s="29"/>
      <c r="N2794" s="29"/>
      <c r="O2794" s="29"/>
      <c r="P2794" s="29"/>
      <c r="Q2794" s="29"/>
      <c r="R2794" s="29"/>
      <c r="S2794" s="29"/>
    </row>
    <row r="2795" spans="13:19" ht="16.5" customHeight="1" x14ac:dyDescent="0.2">
      <c r="M2795" s="29"/>
      <c r="N2795" s="29"/>
      <c r="O2795" s="29"/>
      <c r="P2795" s="29"/>
      <c r="Q2795" s="29"/>
      <c r="R2795" s="29"/>
      <c r="S2795" s="29"/>
    </row>
    <row r="2796" spans="13:19" ht="16.5" customHeight="1" x14ac:dyDescent="0.2">
      <c r="M2796" s="29"/>
      <c r="N2796" s="29"/>
      <c r="O2796" s="29"/>
      <c r="P2796" s="29"/>
      <c r="Q2796" s="29"/>
      <c r="R2796" s="29"/>
      <c r="S2796" s="29"/>
    </row>
    <row r="2797" spans="13:19" ht="16.5" customHeight="1" x14ac:dyDescent="0.2">
      <c r="M2797" s="29"/>
      <c r="N2797" s="29"/>
      <c r="O2797" s="29"/>
      <c r="P2797" s="29"/>
      <c r="Q2797" s="29"/>
      <c r="R2797" s="29"/>
      <c r="S2797" s="29"/>
    </row>
    <row r="2798" spans="13:19" ht="16.5" customHeight="1" x14ac:dyDescent="0.2">
      <c r="M2798" s="29"/>
      <c r="N2798" s="29"/>
      <c r="O2798" s="29"/>
      <c r="P2798" s="29"/>
      <c r="Q2798" s="29"/>
      <c r="R2798" s="29"/>
      <c r="S2798" s="29"/>
    </row>
    <row r="2799" spans="13:19" ht="16.5" customHeight="1" x14ac:dyDescent="0.2">
      <c r="M2799" s="29"/>
      <c r="N2799" s="29"/>
      <c r="O2799" s="29"/>
      <c r="P2799" s="29"/>
      <c r="Q2799" s="29"/>
      <c r="R2799" s="29"/>
      <c r="S2799" s="29"/>
    </row>
    <row r="2800" spans="13:19" ht="16.5" customHeight="1" x14ac:dyDescent="0.2">
      <c r="M2800" s="29"/>
      <c r="N2800" s="29"/>
      <c r="O2800" s="29"/>
      <c r="P2800" s="29"/>
      <c r="Q2800" s="29"/>
      <c r="R2800" s="29"/>
      <c r="S2800" s="29"/>
    </row>
    <row r="2801" spans="13:19" ht="16.5" customHeight="1" x14ac:dyDescent="0.2">
      <c r="M2801" s="29"/>
      <c r="N2801" s="29"/>
      <c r="O2801" s="29"/>
      <c r="P2801" s="29"/>
      <c r="Q2801" s="29"/>
      <c r="R2801" s="29"/>
      <c r="S2801" s="29"/>
    </row>
    <row r="2802" spans="13:19" ht="16.5" customHeight="1" x14ac:dyDescent="0.2">
      <c r="M2802" s="29"/>
      <c r="N2802" s="29"/>
      <c r="O2802" s="29"/>
      <c r="P2802" s="29"/>
      <c r="Q2802" s="29"/>
      <c r="R2802" s="29"/>
      <c r="S2802" s="29"/>
    </row>
    <row r="2803" spans="13:19" ht="16.5" customHeight="1" x14ac:dyDescent="0.2">
      <c r="M2803" s="29"/>
      <c r="N2803" s="29"/>
      <c r="O2803" s="29"/>
      <c r="P2803" s="29"/>
      <c r="Q2803" s="29"/>
      <c r="R2803" s="29"/>
      <c r="S2803" s="29"/>
    </row>
    <row r="2804" spans="13:19" ht="16.5" customHeight="1" x14ac:dyDescent="0.2">
      <c r="M2804" s="29"/>
      <c r="N2804" s="29"/>
      <c r="O2804" s="29"/>
      <c r="P2804" s="29"/>
      <c r="Q2804" s="29"/>
      <c r="R2804" s="29"/>
      <c r="S2804" s="29"/>
    </row>
    <row r="2805" spans="13:19" ht="16.5" customHeight="1" x14ac:dyDescent="0.2">
      <c r="M2805" s="29"/>
      <c r="N2805" s="29"/>
      <c r="O2805" s="29"/>
      <c r="P2805" s="29"/>
      <c r="Q2805" s="29"/>
      <c r="R2805" s="29"/>
      <c r="S2805" s="29"/>
    </row>
    <row r="2806" spans="13:19" ht="16.5" customHeight="1" x14ac:dyDescent="0.2">
      <c r="M2806" s="29"/>
      <c r="N2806" s="29"/>
      <c r="O2806" s="29"/>
      <c r="P2806" s="29"/>
      <c r="Q2806" s="29"/>
      <c r="R2806" s="29"/>
      <c r="S2806" s="29"/>
    </row>
    <row r="2807" spans="13:19" ht="16.5" customHeight="1" x14ac:dyDescent="0.2">
      <c r="M2807" s="29"/>
      <c r="N2807" s="29"/>
      <c r="O2807" s="29"/>
      <c r="P2807" s="29"/>
      <c r="Q2807" s="29"/>
      <c r="R2807" s="29"/>
      <c r="S2807" s="29"/>
    </row>
    <row r="2808" spans="13:19" ht="16.5" customHeight="1" x14ac:dyDescent="0.2">
      <c r="M2808" s="29"/>
      <c r="N2808" s="29"/>
      <c r="O2808" s="29"/>
      <c r="P2808" s="29"/>
      <c r="Q2808" s="29"/>
      <c r="R2808" s="29"/>
      <c r="S2808" s="29"/>
    </row>
    <row r="2809" spans="13:19" ht="16.5" customHeight="1" x14ac:dyDescent="0.2">
      <c r="M2809" s="29"/>
      <c r="N2809" s="29"/>
      <c r="O2809" s="29"/>
      <c r="P2809" s="29"/>
      <c r="Q2809" s="29"/>
      <c r="R2809" s="29"/>
      <c r="S2809" s="29"/>
    </row>
    <row r="2810" spans="13:19" ht="16.5" customHeight="1" x14ac:dyDescent="0.2">
      <c r="M2810" s="29"/>
      <c r="N2810" s="29"/>
      <c r="O2810" s="29"/>
      <c r="P2810" s="29"/>
      <c r="Q2810" s="29"/>
      <c r="R2810" s="29"/>
      <c r="S2810" s="29"/>
    </row>
    <row r="2811" spans="13:19" ht="16.5" customHeight="1" x14ac:dyDescent="0.2">
      <c r="M2811" s="29"/>
      <c r="N2811" s="29"/>
      <c r="O2811" s="29"/>
      <c r="P2811" s="29"/>
      <c r="Q2811" s="29"/>
      <c r="R2811" s="29"/>
      <c r="S2811" s="29"/>
    </row>
    <row r="2812" spans="13:19" ht="16.5" customHeight="1" x14ac:dyDescent="0.2">
      <c r="M2812" s="29"/>
      <c r="N2812" s="29"/>
      <c r="O2812" s="29"/>
      <c r="P2812" s="29"/>
      <c r="Q2812" s="29"/>
      <c r="R2812" s="29"/>
      <c r="S2812" s="29"/>
    </row>
    <row r="2813" spans="13:19" ht="16.5" customHeight="1" x14ac:dyDescent="0.2">
      <c r="M2813" s="29"/>
      <c r="N2813" s="29"/>
      <c r="O2813" s="29"/>
      <c r="P2813" s="29"/>
      <c r="Q2813" s="29"/>
      <c r="R2813" s="29"/>
      <c r="S2813" s="29"/>
    </row>
    <row r="2814" spans="13:19" ht="16.5" customHeight="1" x14ac:dyDescent="0.2">
      <c r="M2814" s="29"/>
      <c r="N2814" s="29"/>
      <c r="O2814" s="29"/>
      <c r="P2814" s="29"/>
      <c r="Q2814" s="29"/>
      <c r="R2814" s="29"/>
      <c r="S2814" s="29"/>
    </row>
    <row r="2815" spans="13:19" ht="16.5" customHeight="1" x14ac:dyDescent="0.2">
      <c r="M2815" s="29"/>
      <c r="N2815" s="29"/>
      <c r="O2815" s="29"/>
      <c r="P2815" s="29"/>
      <c r="Q2815" s="29"/>
      <c r="R2815" s="29"/>
      <c r="S2815" s="29"/>
    </row>
    <row r="2816" spans="13:19" ht="16.5" customHeight="1" x14ac:dyDescent="0.2">
      <c r="M2816" s="29"/>
      <c r="N2816" s="29"/>
      <c r="O2816" s="29"/>
      <c r="P2816" s="29"/>
      <c r="Q2816" s="29"/>
      <c r="R2816" s="29"/>
      <c r="S2816" s="29"/>
    </row>
    <row r="2817" spans="13:19" ht="16.5" customHeight="1" x14ac:dyDescent="0.2">
      <c r="M2817" s="29"/>
      <c r="N2817" s="29"/>
      <c r="O2817" s="29"/>
      <c r="P2817" s="29"/>
      <c r="Q2817" s="29"/>
      <c r="R2817" s="29"/>
      <c r="S2817" s="29"/>
    </row>
    <row r="2818" spans="13:19" ht="16.5" customHeight="1" x14ac:dyDescent="0.2">
      <c r="M2818" s="29"/>
      <c r="N2818" s="29"/>
      <c r="O2818" s="29"/>
      <c r="P2818" s="29"/>
      <c r="Q2818" s="29"/>
      <c r="R2818" s="29"/>
      <c r="S2818" s="29"/>
    </row>
    <row r="2819" spans="13:19" ht="16.5" customHeight="1" x14ac:dyDescent="0.2">
      <c r="M2819" s="29"/>
      <c r="N2819" s="29"/>
      <c r="O2819" s="29"/>
      <c r="P2819" s="29"/>
      <c r="Q2819" s="29"/>
      <c r="R2819" s="29"/>
      <c r="S2819" s="29"/>
    </row>
    <row r="2820" spans="13:19" ht="16.5" customHeight="1" x14ac:dyDescent="0.2">
      <c r="M2820" s="29"/>
      <c r="N2820" s="29"/>
      <c r="O2820" s="29"/>
      <c r="P2820" s="29"/>
      <c r="Q2820" s="29"/>
      <c r="R2820" s="29"/>
      <c r="S2820" s="29"/>
    </row>
    <row r="2821" spans="13:19" ht="16.5" customHeight="1" x14ac:dyDescent="0.2">
      <c r="M2821" s="29"/>
      <c r="N2821" s="29"/>
      <c r="O2821" s="29"/>
      <c r="P2821" s="29"/>
      <c r="Q2821" s="29"/>
      <c r="R2821" s="29"/>
      <c r="S2821" s="29"/>
    </row>
    <row r="2822" spans="13:19" ht="16.5" customHeight="1" x14ac:dyDescent="0.2">
      <c r="M2822" s="29"/>
      <c r="N2822" s="29"/>
      <c r="O2822" s="29"/>
      <c r="P2822" s="29"/>
      <c r="Q2822" s="29"/>
      <c r="R2822" s="29"/>
      <c r="S2822" s="29"/>
    </row>
    <row r="2823" spans="13:19" ht="16.5" customHeight="1" x14ac:dyDescent="0.2">
      <c r="M2823" s="29"/>
      <c r="N2823" s="29"/>
      <c r="O2823" s="29"/>
      <c r="P2823" s="29"/>
      <c r="Q2823" s="29"/>
      <c r="R2823" s="29"/>
      <c r="S2823" s="29"/>
    </row>
    <row r="2824" spans="13:19" ht="16.5" customHeight="1" x14ac:dyDescent="0.2">
      <c r="M2824" s="29"/>
      <c r="N2824" s="29"/>
      <c r="O2824" s="29"/>
      <c r="P2824" s="29"/>
      <c r="Q2824" s="29"/>
      <c r="R2824" s="29"/>
      <c r="S2824" s="29"/>
    </row>
    <row r="2825" spans="13:19" ht="16.5" customHeight="1" x14ac:dyDescent="0.2">
      <c r="M2825" s="29"/>
      <c r="N2825" s="29"/>
      <c r="O2825" s="29"/>
      <c r="P2825" s="29"/>
      <c r="Q2825" s="29"/>
      <c r="R2825" s="29"/>
      <c r="S2825" s="29"/>
    </row>
    <row r="2826" spans="13:19" ht="16.5" customHeight="1" x14ac:dyDescent="0.2">
      <c r="M2826" s="29"/>
      <c r="N2826" s="29"/>
      <c r="O2826" s="29"/>
      <c r="P2826" s="29"/>
      <c r="Q2826" s="29"/>
      <c r="R2826" s="29"/>
      <c r="S2826" s="29"/>
    </row>
    <row r="2827" spans="13:19" ht="16.5" customHeight="1" x14ac:dyDescent="0.2">
      <c r="M2827" s="29"/>
      <c r="N2827" s="29"/>
      <c r="O2827" s="29"/>
      <c r="P2827" s="29"/>
      <c r="Q2827" s="29"/>
      <c r="R2827" s="29"/>
      <c r="S2827" s="29"/>
    </row>
    <row r="2828" spans="13:19" ht="16.5" customHeight="1" x14ac:dyDescent="0.2">
      <c r="M2828" s="29"/>
      <c r="N2828" s="29"/>
      <c r="O2828" s="29"/>
      <c r="P2828" s="29"/>
      <c r="Q2828" s="29"/>
      <c r="R2828" s="29"/>
      <c r="S2828" s="29"/>
    </row>
    <row r="2829" spans="13:19" ht="16.5" customHeight="1" x14ac:dyDescent="0.2">
      <c r="M2829" s="29"/>
      <c r="N2829" s="29"/>
      <c r="O2829" s="29"/>
      <c r="P2829" s="29"/>
      <c r="Q2829" s="29"/>
      <c r="R2829" s="29"/>
      <c r="S2829" s="29"/>
    </row>
    <row r="2830" spans="13:19" ht="16.5" customHeight="1" x14ac:dyDescent="0.2">
      <c r="M2830" s="29"/>
      <c r="N2830" s="29"/>
      <c r="O2830" s="29"/>
      <c r="P2830" s="29"/>
      <c r="Q2830" s="29"/>
      <c r="R2830" s="29"/>
      <c r="S2830" s="29"/>
    </row>
    <row r="2831" spans="13:19" ht="16.5" customHeight="1" x14ac:dyDescent="0.2">
      <c r="M2831" s="29"/>
      <c r="N2831" s="29"/>
      <c r="O2831" s="29"/>
      <c r="P2831" s="29"/>
      <c r="Q2831" s="29"/>
      <c r="R2831" s="29"/>
      <c r="S2831" s="29"/>
    </row>
    <row r="2832" spans="13:19" ht="16.5" customHeight="1" x14ac:dyDescent="0.2">
      <c r="M2832" s="29"/>
      <c r="N2832" s="29"/>
      <c r="O2832" s="29"/>
      <c r="P2832" s="29"/>
      <c r="Q2832" s="29"/>
      <c r="R2832" s="29"/>
      <c r="S2832" s="29"/>
    </row>
    <row r="2833" spans="13:19" ht="16.5" customHeight="1" x14ac:dyDescent="0.2">
      <c r="M2833" s="29"/>
      <c r="N2833" s="29"/>
      <c r="O2833" s="29"/>
      <c r="P2833" s="29"/>
      <c r="Q2833" s="29"/>
      <c r="R2833" s="29"/>
      <c r="S2833" s="29"/>
    </row>
    <row r="2834" spans="13:19" ht="16.5" customHeight="1" x14ac:dyDescent="0.2">
      <c r="M2834" s="29"/>
      <c r="N2834" s="29"/>
      <c r="O2834" s="29"/>
      <c r="P2834" s="29"/>
      <c r="Q2834" s="29"/>
      <c r="R2834" s="29"/>
      <c r="S2834" s="29"/>
    </row>
    <row r="2835" spans="13:19" ht="16.5" customHeight="1" x14ac:dyDescent="0.2">
      <c r="M2835" s="29"/>
      <c r="N2835" s="29"/>
      <c r="O2835" s="29"/>
      <c r="P2835" s="29"/>
      <c r="Q2835" s="29"/>
      <c r="R2835" s="29"/>
      <c r="S2835" s="29"/>
    </row>
    <row r="2836" spans="13:19" ht="16.5" customHeight="1" x14ac:dyDescent="0.2">
      <c r="M2836" s="29"/>
      <c r="N2836" s="29"/>
      <c r="O2836" s="29"/>
      <c r="P2836" s="29"/>
      <c r="Q2836" s="29"/>
      <c r="R2836" s="29"/>
      <c r="S2836" s="29"/>
    </row>
    <row r="2837" spans="13:19" ht="16.5" customHeight="1" x14ac:dyDescent="0.2">
      <c r="M2837" s="29"/>
      <c r="N2837" s="29"/>
      <c r="O2837" s="29"/>
      <c r="P2837" s="29"/>
      <c r="Q2837" s="29"/>
      <c r="R2837" s="29"/>
      <c r="S2837" s="29"/>
    </row>
    <row r="2838" spans="13:19" ht="16.5" customHeight="1" x14ac:dyDescent="0.2">
      <c r="M2838" s="29"/>
      <c r="N2838" s="29"/>
      <c r="O2838" s="29"/>
      <c r="P2838" s="29"/>
      <c r="Q2838" s="29"/>
      <c r="R2838" s="29"/>
      <c r="S2838" s="29"/>
    </row>
    <row r="2839" spans="13:19" ht="16.5" customHeight="1" x14ac:dyDescent="0.2">
      <c r="M2839" s="29"/>
      <c r="N2839" s="29"/>
      <c r="O2839" s="29"/>
      <c r="P2839" s="29"/>
      <c r="Q2839" s="29"/>
      <c r="R2839" s="29"/>
      <c r="S2839" s="29"/>
    </row>
    <row r="2840" spans="13:19" ht="16.5" customHeight="1" x14ac:dyDescent="0.2">
      <c r="M2840" s="29"/>
      <c r="N2840" s="29"/>
      <c r="O2840" s="29"/>
      <c r="P2840" s="29"/>
      <c r="Q2840" s="29"/>
      <c r="R2840" s="29"/>
      <c r="S2840" s="29"/>
    </row>
    <row r="2841" spans="13:19" ht="16.5" customHeight="1" x14ac:dyDescent="0.2">
      <c r="M2841" s="29"/>
      <c r="N2841" s="29"/>
      <c r="O2841" s="29"/>
      <c r="P2841" s="29"/>
      <c r="Q2841" s="29"/>
      <c r="R2841" s="29"/>
      <c r="S2841" s="29"/>
    </row>
    <row r="2842" spans="13:19" ht="16.5" customHeight="1" x14ac:dyDescent="0.2">
      <c r="M2842" s="29"/>
      <c r="N2842" s="29"/>
      <c r="O2842" s="29"/>
      <c r="P2842" s="29"/>
      <c r="Q2842" s="29"/>
      <c r="R2842" s="29"/>
      <c r="S2842" s="29"/>
    </row>
    <row r="2843" spans="13:19" ht="16.5" customHeight="1" x14ac:dyDescent="0.2">
      <c r="M2843" s="29"/>
      <c r="N2843" s="29"/>
      <c r="O2843" s="29"/>
      <c r="P2843" s="29"/>
      <c r="Q2843" s="29"/>
      <c r="R2843" s="29"/>
      <c r="S2843" s="29"/>
    </row>
    <row r="2844" spans="13:19" ht="16.5" customHeight="1" x14ac:dyDescent="0.2">
      <c r="M2844" s="29"/>
      <c r="N2844" s="29"/>
      <c r="O2844" s="29"/>
      <c r="P2844" s="29"/>
      <c r="Q2844" s="29"/>
      <c r="R2844" s="29"/>
      <c r="S2844" s="29"/>
    </row>
    <row r="2845" spans="13:19" ht="16.5" customHeight="1" x14ac:dyDescent="0.2">
      <c r="M2845" s="29"/>
      <c r="N2845" s="29"/>
      <c r="O2845" s="29"/>
      <c r="P2845" s="29"/>
      <c r="Q2845" s="29"/>
      <c r="R2845" s="29"/>
      <c r="S2845" s="29"/>
    </row>
    <row r="2846" spans="13:19" ht="16.5" customHeight="1" x14ac:dyDescent="0.2">
      <c r="M2846" s="29"/>
      <c r="N2846" s="29"/>
      <c r="O2846" s="29"/>
      <c r="P2846" s="29"/>
      <c r="Q2846" s="29"/>
      <c r="R2846" s="29"/>
      <c r="S2846" s="29"/>
    </row>
    <row r="2847" spans="13:19" ht="16.5" customHeight="1" x14ac:dyDescent="0.2">
      <c r="M2847" s="29"/>
      <c r="N2847" s="29"/>
      <c r="O2847" s="29"/>
      <c r="P2847" s="29"/>
      <c r="Q2847" s="29"/>
      <c r="R2847" s="29"/>
      <c r="S2847" s="29"/>
    </row>
    <row r="2848" spans="13:19" ht="16.5" customHeight="1" x14ac:dyDescent="0.2">
      <c r="M2848" s="29"/>
      <c r="N2848" s="29"/>
      <c r="O2848" s="29"/>
      <c r="P2848" s="29"/>
      <c r="Q2848" s="29"/>
      <c r="R2848" s="29"/>
      <c r="S2848" s="29"/>
    </row>
    <row r="2849" spans="13:19" ht="16.5" customHeight="1" x14ac:dyDescent="0.2">
      <c r="M2849" s="29"/>
      <c r="N2849" s="29"/>
      <c r="O2849" s="29"/>
      <c r="P2849" s="29"/>
      <c r="Q2849" s="29"/>
      <c r="R2849" s="29"/>
      <c r="S2849" s="29"/>
    </row>
    <row r="2850" spans="13:19" ht="16.5" customHeight="1" x14ac:dyDescent="0.2">
      <c r="M2850" s="29"/>
      <c r="N2850" s="29"/>
      <c r="O2850" s="29"/>
      <c r="P2850" s="29"/>
      <c r="Q2850" s="29"/>
      <c r="R2850" s="29"/>
      <c r="S2850" s="29"/>
    </row>
    <row r="2851" spans="13:19" ht="16.5" customHeight="1" x14ac:dyDescent="0.2">
      <c r="M2851" s="29"/>
      <c r="N2851" s="29"/>
      <c r="O2851" s="29"/>
      <c r="P2851" s="29"/>
      <c r="Q2851" s="29"/>
      <c r="R2851" s="29"/>
      <c r="S2851" s="29"/>
    </row>
    <row r="2852" spans="13:19" ht="16.5" customHeight="1" x14ac:dyDescent="0.2">
      <c r="M2852" s="29"/>
      <c r="N2852" s="29"/>
      <c r="O2852" s="29"/>
      <c r="P2852" s="29"/>
      <c r="Q2852" s="29"/>
      <c r="R2852" s="29"/>
      <c r="S2852" s="29"/>
    </row>
    <row r="2853" spans="13:19" ht="16.5" customHeight="1" x14ac:dyDescent="0.2">
      <c r="M2853" s="29"/>
      <c r="N2853" s="29"/>
      <c r="O2853" s="29"/>
      <c r="P2853" s="29"/>
      <c r="Q2853" s="29"/>
      <c r="R2853" s="29"/>
      <c r="S2853" s="29"/>
    </row>
    <row r="2854" spans="13:19" ht="16.5" customHeight="1" x14ac:dyDescent="0.2">
      <c r="M2854" s="29"/>
      <c r="N2854" s="29"/>
      <c r="O2854" s="29"/>
      <c r="P2854" s="29"/>
      <c r="Q2854" s="29"/>
      <c r="R2854" s="29"/>
      <c r="S2854" s="29"/>
    </row>
    <row r="2855" spans="13:19" ht="16.5" customHeight="1" x14ac:dyDescent="0.2">
      <c r="M2855" s="29"/>
      <c r="N2855" s="29"/>
      <c r="O2855" s="29"/>
      <c r="P2855" s="29"/>
      <c r="Q2855" s="29"/>
      <c r="R2855" s="29"/>
      <c r="S2855" s="29"/>
    </row>
    <row r="2856" spans="13:19" ht="16.5" customHeight="1" x14ac:dyDescent="0.2">
      <c r="M2856" s="29"/>
      <c r="N2856" s="29"/>
      <c r="O2856" s="29"/>
      <c r="P2856" s="29"/>
      <c r="Q2856" s="29"/>
      <c r="R2856" s="29"/>
      <c r="S2856" s="29"/>
    </row>
    <row r="2857" spans="13:19" ht="16.5" customHeight="1" x14ac:dyDescent="0.2">
      <c r="M2857" s="29"/>
      <c r="N2857" s="29"/>
      <c r="O2857" s="29"/>
      <c r="P2857" s="29"/>
      <c r="Q2857" s="29"/>
      <c r="R2857" s="29"/>
      <c r="S2857" s="29"/>
    </row>
    <row r="2858" spans="13:19" ht="16.5" customHeight="1" x14ac:dyDescent="0.2">
      <c r="M2858" s="29"/>
      <c r="N2858" s="29"/>
      <c r="O2858" s="29"/>
      <c r="P2858" s="29"/>
      <c r="Q2858" s="29"/>
      <c r="R2858" s="29"/>
      <c r="S2858" s="29"/>
    </row>
    <row r="2859" spans="13:19" ht="16.5" customHeight="1" x14ac:dyDescent="0.2">
      <c r="M2859" s="29"/>
      <c r="N2859" s="29"/>
      <c r="O2859" s="29"/>
      <c r="P2859" s="29"/>
      <c r="Q2859" s="29"/>
      <c r="R2859" s="29"/>
      <c r="S2859" s="29"/>
    </row>
    <row r="2860" spans="13:19" ht="16.5" customHeight="1" x14ac:dyDescent="0.2">
      <c r="M2860" s="29"/>
      <c r="N2860" s="29"/>
      <c r="O2860" s="29"/>
      <c r="P2860" s="29"/>
      <c r="Q2860" s="29"/>
      <c r="R2860" s="29"/>
      <c r="S2860" s="29"/>
    </row>
    <row r="2861" spans="13:19" ht="16.5" customHeight="1" x14ac:dyDescent="0.2">
      <c r="M2861" s="29"/>
      <c r="N2861" s="29"/>
      <c r="O2861" s="29"/>
      <c r="P2861" s="29"/>
      <c r="Q2861" s="29"/>
      <c r="R2861" s="29"/>
      <c r="S2861" s="29"/>
    </row>
    <row r="2862" spans="13:19" ht="16.5" customHeight="1" x14ac:dyDescent="0.2">
      <c r="M2862" s="29"/>
      <c r="N2862" s="29"/>
      <c r="O2862" s="29"/>
      <c r="P2862" s="29"/>
      <c r="Q2862" s="29"/>
      <c r="R2862" s="29"/>
      <c r="S2862" s="29"/>
    </row>
    <row r="2863" spans="13:19" ht="16.5" customHeight="1" x14ac:dyDescent="0.2">
      <c r="M2863" s="29"/>
      <c r="N2863" s="29"/>
      <c r="O2863" s="29"/>
      <c r="P2863" s="29"/>
      <c r="Q2863" s="29"/>
      <c r="R2863" s="29"/>
      <c r="S2863" s="29"/>
    </row>
    <row r="2864" spans="13:19" ht="16.5" customHeight="1" x14ac:dyDescent="0.2">
      <c r="M2864" s="29"/>
      <c r="N2864" s="29"/>
      <c r="O2864" s="29"/>
      <c r="P2864" s="29"/>
      <c r="Q2864" s="29"/>
      <c r="R2864" s="29"/>
      <c r="S2864" s="29"/>
    </row>
    <row r="2865" spans="13:19" ht="16.5" customHeight="1" x14ac:dyDescent="0.2">
      <c r="M2865" s="29"/>
      <c r="N2865" s="29"/>
      <c r="O2865" s="29"/>
      <c r="P2865" s="29"/>
      <c r="Q2865" s="29"/>
      <c r="R2865" s="29"/>
      <c r="S2865" s="29"/>
    </row>
    <row r="2866" spans="13:19" ht="16.5" customHeight="1" x14ac:dyDescent="0.2">
      <c r="M2866" s="29"/>
      <c r="N2866" s="29"/>
      <c r="O2866" s="29"/>
      <c r="P2866" s="29"/>
      <c r="Q2866" s="29"/>
      <c r="R2866" s="29"/>
      <c r="S2866" s="29"/>
    </row>
    <row r="2867" spans="13:19" ht="16.5" customHeight="1" x14ac:dyDescent="0.2">
      <c r="M2867" s="29"/>
      <c r="N2867" s="29"/>
      <c r="O2867" s="29"/>
      <c r="P2867" s="29"/>
      <c r="Q2867" s="29"/>
      <c r="R2867" s="29"/>
      <c r="S2867" s="29"/>
    </row>
    <row r="2868" spans="13:19" ht="16.5" customHeight="1" x14ac:dyDescent="0.2">
      <c r="M2868" s="29"/>
      <c r="N2868" s="29"/>
      <c r="O2868" s="29"/>
      <c r="P2868" s="29"/>
      <c r="Q2868" s="29"/>
      <c r="R2868" s="29"/>
      <c r="S2868" s="29"/>
    </row>
    <row r="2869" spans="13:19" ht="16.5" customHeight="1" x14ac:dyDescent="0.2">
      <c r="M2869" s="29"/>
      <c r="N2869" s="29"/>
      <c r="O2869" s="29"/>
      <c r="P2869" s="29"/>
      <c r="Q2869" s="29"/>
      <c r="R2869" s="29"/>
      <c r="S2869" s="29"/>
    </row>
    <row r="2870" spans="13:19" ht="16.5" customHeight="1" x14ac:dyDescent="0.2">
      <c r="M2870" s="29"/>
      <c r="N2870" s="29"/>
      <c r="O2870" s="29"/>
      <c r="P2870" s="29"/>
      <c r="Q2870" s="29"/>
      <c r="R2870" s="29"/>
      <c r="S2870" s="29"/>
    </row>
    <row r="2871" spans="13:19" ht="16.5" customHeight="1" x14ac:dyDescent="0.2">
      <c r="M2871" s="29"/>
      <c r="N2871" s="29"/>
      <c r="O2871" s="29"/>
      <c r="P2871" s="29"/>
      <c r="Q2871" s="29"/>
      <c r="R2871" s="29"/>
      <c r="S2871" s="29"/>
    </row>
    <row r="2872" spans="13:19" ht="16.5" customHeight="1" x14ac:dyDescent="0.2">
      <c r="M2872" s="29"/>
      <c r="N2872" s="29"/>
      <c r="O2872" s="29"/>
      <c r="P2872" s="29"/>
      <c r="Q2872" s="29"/>
      <c r="R2872" s="29"/>
      <c r="S2872" s="29"/>
    </row>
    <row r="2873" spans="13:19" ht="16.5" customHeight="1" x14ac:dyDescent="0.2">
      <c r="M2873" s="29"/>
      <c r="N2873" s="29"/>
      <c r="O2873" s="29"/>
      <c r="P2873" s="29"/>
      <c r="Q2873" s="29"/>
      <c r="R2873" s="29"/>
      <c r="S2873" s="29"/>
    </row>
    <row r="2874" spans="13:19" ht="16.5" customHeight="1" x14ac:dyDescent="0.2">
      <c r="M2874" s="29"/>
      <c r="N2874" s="29"/>
      <c r="O2874" s="29"/>
      <c r="P2874" s="29"/>
      <c r="Q2874" s="29"/>
      <c r="R2874" s="29"/>
      <c r="S2874" s="29"/>
    </row>
    <row r="2875" spans="13:19" ht="16.5" customHeight="1" x14ac:dyDescent="0.2">
      <c r="M2875" s="29"/>
      <c r="N2875" s="29"/>
      <c r="O2875" s="29"/>
      <c r="P2875" s="29"/>
      <c r="Q2875" s="29"/>
      <c r="R2875" s="29"/>
      <c r="S2875" s="29"/>
    </row>
    <row r="2876" spans="13:19" ht="16.5" customHeight="1" x14ac:dyDescent="0.2">
      <c r="M2876" s="29"/>
      <c r="N2876" s="29"/>
      <c r="O2876" s="29"/>
      <c r="P2876" s="29"/>
      <c r="Q2876" s="29"/>
      <c r="R2876" s="29"/>
      <c r="S2876" s="29"/>
    </row>
    <row r="2877" spans="13:19" ht="16.5" customHeight="1" x14ac:dyDescent="0.2">
      <c r="M2877" s="29"/>
      <c r="N2877" s="29"/>
      <c r="O2877" s="29"/>
      <c r="P2877" s="29"/>
      <c r="Q2877" s="29"/>
      <c r="R2877" s="29"/>
      <c r="S2877" s="29"/>
    </row>
    <row r="2878" spans="13:19" ht="16.5" customHeight="1" x14ac:dyDescent="0.2">
      <c r="M2878" s="29"/>
      <c r="N2878" s="29"/>
      <c r="O2878" s="29"/>
      <c r="P2878" s="29"/>
      <c r="Q2878" s="29"/>
      <c r="R2878" s="29"/>
      <c r="S2878" s="29"/>
    </row>
    <row r="2879" spans="13:19" ht="16.5" customHeight="1" x14ac:dyDescent="0.2">
      <c r="M2879" s="29"/>
      <c r="N2879" s="29"/>
      <c r="O2879" s="29"/>
      <c r="P2879" s="29"/>
      <c r="Q2879" s="29"/>
      <c r="R2879" s="29"/>
      <c r="S2879" s="29"/>
    </row>
    <row r="2880" spans="13:19" ht="16.5" customHeight="1" x14ac:dyDescent="0.2">
      <c r="M2880" s="29"/>
      <c r="N2880" s="29"/>
      <c r="O2880" s="29"/>
      <c r="P2880" s="29"/>
      <c r="Q2880" s="29"/>
      <c r="R2880" s="29"/>
      <c r="S2880" s="29"/>
    </row>
    <row r="2881" spans="13:19" ht="16.5" customHeight="1" x14ac:dyDescent="0.2">
      <c r="M2881" s="29"/>
      <c r="N2881" s="29"/>
      <c r="O2881" s="29"/>
      <c r="P2881" s="29"/>
      <c r="Q2881" s="29"/>
      <c r="R2881" s="29"/>
      <c r="S2881" s="29"/>
    </row>
    <row r="2882" spans="13:19" ht="16.5" customHeight="1" x14ac:dyDescent="0.2">
      <c r="M2882" s="29"/>
      <c r="N2882" s="29"/>
      <c r="O2882" s="29"/>
      <c r="P2882" s="29"/>
      <c r="Q2882" s="29"/>
      <c r="R2882" s="29"/>
      <c r="S2882" s="29"/>
    </row>
    <row r="2883" spans="13:19" ht="16.5" customHeight="1" x14ac:dyDescent="0.2">
      <c r="M2883" s="29"/>
      <c r="N2883" s="29"/>
      <c r="O2883" s="29"/>
      <c r="P2883" s="29"/>
      <c r="Q2883" s="29"/>
      <c r="R2883" s="29"/>
      <c r="S2883" s="29"/>
    </row>
    <row r="2884" spans="13:19" ht="16.5" customHeight="1" x14ac:dyDescent="0.2">
      <c r="M2884" s="29"/>
      <c r="N2884" s="29"/>
      <c r="O2884" s="29"/>
      <c r="P2884" s="29"/>
      <c r="Q2884" s="29"/>
      <c r="R2884" s="29"/>
      <c r="S2884" s="29"/>
    </row>
    <row r="2885" spans="13:19" ht="16.5" customHeight="1" x14ac:dyDescent="0.2">
      <c r="M2885" s="29"/>
      <c r="N2885" s="29"/>
      <c r="O2885" s="29"/>
      <c r="P2885" s="29"/>
      <c r="Q2885" s="29"/>
      <c r="R2885" s="29"/>
      <c r="S2885" s="29"/>
    </row>
    <row r="2886" spans="13:19" ht="16.5" customHeight="1" x14ac:dyDescent="0.2">
      <c r="M2886" s="29"/>
      <c r="N2886" s="29"/>
      <c r="O2886" s="29"/>
      <c r="P2886" s="29"/>
      <c r="Q2886" s="29"/>
      <c r="R2886" s="29"/>
      <c r="S2886" s="29"/>
    </row>
    <row r="2887" spans="13:19" ht="16.5" customHeight="1" x14ac:dyDescent="0.2">
      <c r="M2887" s="29"/>
      <c r="N2887" s="29"/>
      <c r="O2887" s="29"/>
      <c r="P2887" s="29"/>
      <c r="Q2887" s="29"/>
      <c r="R2887" s="29"/>
      <c r="S2887" s="29"/>
    </row>
    <row r="2888" spans="13:19" ht="16.5" customHeight="1" x14ac:dyDescent="0.2">
      <c r="M2888" s="29"/>
      <c r="N2888" s="29"/>
      <c r="O2888" s="29"/>
      <c r="P2888" s="29"/>
      <c r="Q2888" s="29"/>
      <c r="R2888" s="29"/>
      <c r="S2888" s="29"/>
    </row>
    <row r="2889" spans="13:19" ht="16.5" customHeight="1" x14ac:dyDescent="0.2">
      <c r="M2889" s="29"/>
      <c r="N2889" s="29"/>
      <c r="O2889" s="29"/>
      <c r="P2889" s="29"/>
      <c r="Q2889" s="29"/>
      <c r="R2889" s="29"/>
      <c r="S2889" s="29"/>
    </row>
    <row r="2890" spans="13:19" ht="16.5" customHeight="1" x14ac:dyDescent="0.2">
      <c r="M2890" s="29"/>
      <c r="N2890" s="29"/>
      <c r="O2890" s="29"/>
      <c r="P2890" s="29"/>
      <c r="Q2890" s="29"/>
      <c r="R2890" s="29"/>
      <c r="S2890" s="29"/>
    </row>
    <row r="2891" spans="13:19" ht="16.5" customHeight="1" x14ac:dyDescent="0.2">
      <c r="M2891" s="29"/>
      <c r="N2891" s="29"/>
      <c r="O2891" s="29"/>
      <c r="P2891" s="29"/>
      <c r="Q2891" s="29"/>
      <c r="R2891" s="29"/>
      <c r="S2891" s="29"/>
    </row>
    <row r="2892" spans="13:19" ht="16.5" customHeight="1" x14ac:dyDescent="0.2">
      <c r="M2892" s="29"/>
      <c r="N2892" s="29"/>
      <c r="O2892" s="29"/>
      <c r="P2892" s="29"/>
      <c r="Q2892" s="29"/>
      <c r="R2892" s="29"/>
      <c r="S2892" s="29"/>
    </row>
    <row r="2893" spans="13:19" ht="16.5" customHeight="1" x14ac:dyDescent="0.2">
      <c r="M2893" s="29"/>
      <c r="N2893" s="29"/>
      <c r="O2893" s="29"/>
      <c r="P2893" s="29"/>
      <c r="Q2893" s="29"/>
      <c r="R2893" s="29"/>
      <c r="S2893" s="29"/>
    </row>
    <row r="2894" spans="13:19" ht="16.5" customHeight="1" x14ac:dyDescent="0.2">
      <c r="M2894" s="29"/>
      <c r="N2894" s="29"/>
      <c r="O2894" s="29"/>
      <c r="P2894" s="29"/>
      <c r="Q2894" s="29"/>
      <c r="R2894" s="29"/>
      <c r="S2894" s="29"/>
    </row>
    <row r="2895" spans="13:19" ht="16.5" customHeight="1" x14ac:dyDescent="0.2">
      <c r="M2895" s="29"/>
      <c r="N2895" s="29"/>
      <c r="O2895" s="29"/>
      <c r="P2895" s="29"/>
      <c r="Q2895" s="29"/>
      <c r="R2895" s="29"/>
      <c r="S2895" s="29"/>
    </row>
    <row r="2896" spans="13:19" ht="16.5" customHeight="1" x14ac:dyDescent="0.2">
      <c r="M2896" s="29"/>
      <c r="N2896" s="29"/>
      <c r="O2896" s="29"/>
      <c r="P2896" s="29"/>
      <c r="Q2896" s="29"/>
      <c r="R2896" s="29"/>
      <c r="S2896" s="29"/>
    </row>
    <row r="2897" spans="13:19" ht="16.5" customHeight="1" x14ac:dyDescent="0.2">
      <c r="M2897" s="29"/>
      <c r="N2897" s="29"/>
      <c r="O2897" s="29"/>
      <c r="P2897" s="29"/>
      <c r="Q2897" s="29"/>
      <c r="R2897" s="29"/>
      <c r="S2897" s="29"/>
    </row>
    <row r="2898" spans="13:19" ht="16.5" customHeight="1" x14ac:dyDescent="0.2">
      <c r="M2898" s="29"/>
      <c r="N2898" s="29"/>
      <c r="O2898" s="29"/>
      <c r="P2898" s="29"/>
      <c r="Q2898" s="29"/>
      <c r="R2898" s="29"/>
      <c r="S2898" s="29"/>
    </row>
    <row r="2899" spans="13:19" ht="16.5" customHeight="1" x14ac:dyDescent="0.2">
      <c r="M2899" s="29"/>
      <c r="N2899" s="29"/>
      <c r="O2899" s="29"/>
      <c r="P2899" s="29"/>
      <c r="Q2899" s="29"/>
      <c r="R2899" s="29"/>
      <c r="S2899" s="29"/>
    </row>
    <row r="2900" spans="13:19" ht="16.5" customHeight="1" x14ac:dyDescent="0.2">
      <c r="M2900" s="29"/>
      <c r="N2900" s="29"/>
      <c r="O2900" s="29"/>
      <c r="P2900" s="29"/>
      <c r="Q2900" s="29"/>
      <c r="R2900" s="29"/>
      <c r="S2900" s="29"/>
    </row>
    <row r="2901" spans="13:19" ht="16.5" customHeight="1" x14ac:dyDescent="0.2">
      <c r="M2901" s="29"/>
      <c r="N2901" s="29"/>
      <c r="O2901" s="29"/>
      <c r="P2901" s="29"/>
      <c r="Q2901" s="29"/>
      <c r="R2901" s="29"/>
      <c r="S2901" s="29"/>
    </row>
    <row r="2902" spans="13:19" ht="16.5" customHeight="1" x14ac:dyDescent="0.2">
      <c r="M2902" s="29"/>
      <c r="N2902" s="29"/>
      <c r="O2902" s="29"/>
      <c r="P2902" s="29"/>
      <c r="Q2902" s="29"/>
      <c r="R2902" s="29"/>
      <c r="S2902" s="29"/>
    </row>
    <row r="2903" spans="13:19" ht="16.5" customHeight="1" x14ac:dyDescent="0.2">
      <c r="M2903" s="29"/>
      <c r="N2903" s="29"/>
      <c r="O2903" s="29"/>
      <c r="P2903" s="29"/>
      <c r="Q2903" s="29"/>
      <c r="R2903" s="29"/>
      <c r="S2903" s="29"/>
    </row>
    <row r="2904" spans="13:19" ht="16.5" customHeight="1" x14ac:dyDescent="0.2">
      <c r="M2904" s="29"/>
      <c r="N2904" s="29"/>
      <c r="O2904" s="29"/>
      <c r="P2904" s="29"/>
      <c r="Q2904" s="29"/>
      <c r="R2904" s="29"/>
      <c r="S2904" s="29"/>
    </row>
    <row r="2905" spans="13:19" ht="16.5" customHeight="1" x14ac:dyDescent="0.2">
      <c r="M2905" s="29"/>
      <c r="N2905" s="29"/>
      <c r="O2905" s="29"/>
      <c r="P2905" s="29"/>
      <c r="Q2905" s="29"/>
      <c r="R2905" s="29"/>
      <c r="S2905" s="29"/>
    </row>
    <row r="2906" spans="13:19" ht="16.5" customHeight="1" x14ac:dyDescent="0.2">
      <c r="M2906" s="29"/>
      <c r="N2906" s="29"/>
      <c r="O2906" s="29"/>
      <c r="P2906" s="29"/>
      <c r="Q2906" s="29"/>
      <c r="R2906" s="29"/>
      <c r="S2906" s="29"/>
    </row>
    <row r="2907" spans="13:19" ht="16.5" customHeight="1" x14ac:dyDescent="0.2">
      <c r="M2907" s="29"/>
      <c r="N2907" s="29"/>
      <c r="O2907" s="29"/>
      <c r="P2907" s="29"/>
      <c r="Q2907" s="29"/>
      <c r="R2907" s="29"/>
      <c r="S2907" s="29"/>
    </row>
    <row r="2908" spans="13:19" ht="16.5" customHeight="1" x14ac:dyDescent="0.2">
      <c r="M2908" s="29"/>
      <c r="N2908" s="29"/>
      <c r="O2908" s="29"/>
      <c r="P2908" s="29"/>
      <c r="Q2908" s="29"/>
      <c r="R2908" s="29"/>
      <c r="S2908" s="29"/>
    </row>
    <row r="2909" spans="13:19" ht="16.5" customHeight="1" x14ac:dyDescent="0.2">
      <c r="M2909" s="29"/>
      <c r="N2909" s="29"/>
      <c r="O2909" s="29"/>
      <c r="P2909" s="29"/>
      <c r="Q2909" s="29"/>
      <c r="R2909" s="29"/>
      <c r="S2909" s="29"/>
    </row>
    <row r="2910" spans="13:19" ht="16.5" customHeight="1" x14ac:dyDescent="0.2">
      <c r="M2910" s="29"/>
      <c r="N2910" s="29"/>
      <c r="O2910" s="29"/>
      <c r="P2910" s="29"/>
      <c r="Q2910" s="29"/>
      <c r="R2910" s="29"/>
      <c r="S2910" s="29"/>
    </row>
    <row r="2911" spans="13:19" ht="16.5" customHeight="1" x14ac:dyDescent="0.2">
      <c r="M2911" s="29"/>
      <c r="N2911" s="29"/>
      <c r="O2911" s="29"/>
      <c r="P2911" s="29"/>
      <c r="Q2911" s="29"/>
      <c r="R2911" s="29"/>
      <c r="S2911" s="29"/>
    </row>
    <row r="2912" spans="13:19" ht="16.5" customHeight="1" x14ac:dyDescent="0.2">
      <c r="M2912" s="29"/>
      <c r="N2912" s="29"/>
      <c r="O2912" s="29"/>
      <c r="P2912" s="29"/>
      <c r="Q2912" s="29"/>
      <c r="R2912" s="29"/>
      <c r="S2912" s="29"/>
    </row>
    <row r="2913" spans="13:19" ht="16.5" customHeight="1" x14ac:dyDescent="0.2">
      <c r="M2913" s="29"/>
      <c r="N2913" s="29"/>
      <c r="O2913" s="29"/>
      <c r="P2913" s="29"/>
      <c r="Q2913" s="29"/>
      <c r="R2913" s="29"/>
      <c r="S2913" s="29"/>
    </row>
    <row r="2914" spans="13:19" ht="16.5" customHeight="1" x14ac:dyDescent="0.2">
      <c r="M2914" s="29"/>
      <c r="N2914" s="29"/>
      <c r="O2914" s="29"/>
      <c r="P2914" s="29"/>
      <c r="Q2914" s="29"/>
      <c r="R2914" s="29"/>
      <c r="S2914" s="29"/>
    </row>
    <row r="2915" spans="13:19" ht="16.5" customHeight="1" x14ac:dyDescent="0.2">
      <c r="M2915" s="29"/>
      <c r="N2915" s="29"/>
      <c r="O2915" s="29"/>
      <c r="P2915" s="29"/>
      <c r="Q2915" s="29"/>
      <c r="R2915" s="29"/>
      <c r="S2915" s="29"/>
    </row>
    <row r="2916" spans="13:19" ht="16.5" customHeight="1" x14ac:dyDescent="0.2">
      <c r="M2916" s="29"/>
      <c r="N2916" s="29"/>
      <c r="O2916" s="29"/>
      <c r="P2916" s="29"/>
      <c r="Q2916" s="29"/>
      <c r="R2916" s="29"/>
      <c r="S2916" s="29"/>
    </row>
    <row r="2917" spans="13:19" ht="16.5" customHeight="1" x14ac:dyDescent="0.2">
      <c r="M2917" s="29"/>
      <c r="N2917" s="29"/>
      <c r="O2917" s="29"/>
      <c r="P2917" s="29"/>
      <c r="Q2917" s="29"/>
      <c r="R2917" s="29"/>
      <c r="S2917" s="29"/>
    </row>
    <row r="2918" spans="13:19" ht="16.5" customHeight="1" x14ac:dyDescent="0.2">
      <c r="M2918" s="29"/>
      <c r="N2918" s="29"/>
      <c r="O2918" s="29"/>
      <c r="P2918" s="29"/>
      <c r="Q2918" s="29"/>
      <c r="R2918" s="29"/>
      <c r="S2918" s="29"/>
    </row>
    <row r="2919" spans="13:19" ht="16.5" customHeight="1" x14ac:dyDescent="0.2">
      <c r="M2919" s="29"/>
      <c r="N2919" s="29"/>
      <c r="O2919" s="29"/>
      <c r="P2919" s="29"/>
      <c r="Q2919" s="29"/>
      <c r="R2919" s="29"/>
      <c r="S2919" s="29"/>
    </row>
    <row r="2920" spans="13:19" ht="16.5" customHeight="1" x14ac:dyDescent="0.2">
      <c r="M2920" s="29"/>
      <c r="N2920" s="29"/>
      <c r="O2920" s="29"/>
      <c r="P2920" s="29"/>
      <c r="Q2920" s="29"/>
      <c r="R2920" s="29"/>
      <c r="S2920" s="29"/>
    </row>
    <row r="2921" spans="13:19" ht="16.5" customHeight="1" x14ac:dyDescent="0.2">
      <c r="M2921" s="29"/>
      <c r="N2921" s="29"/>
      <c r="O2921" s="29"/>
      <c r="P2921" s="29"/>
      <c r="Q2921" s="29"/>
      <c r="R2921" s="29"/>
      <c r="S2921" s="29"/>
    </row>
    <row r="2922" spans="13:19" ht="16.5" customHeight="1" x14ac:dyDescent="0.2">
      <c r="M2922" s="29"/>
      <c r="N2922" s="29"/>
      <c r="O2922" s="29"/>
      <c r="P2922" s="29"/>
      <c r="Q2922" s="29"/>
      <c r="R2922" s="29"/>
      <c r="S2922" s="29"/>
    </row>
    <row r="2923" spans="13:19" ht="16.5" customHeight="1" x14ac:dyDescent="0.2">
      <c r="M2923" s="29"/>
      <c r="N2923" s="29"/>
      <c r="O2923" s="29"/>
      <c r="P2923" s="29"/>
      <c r="Q2923" s="29"/>
      <c r="R2923" s="29"/>
      <c r="S2923" s="29"/>
    </row>
    <row r="2924" spans="13:19" ht="16.5" customHeight="1" x14ac:dyDescent="0.2">
      <c r="M2924" s="29"/>
      <c r="N2924" s="29"/>
      <c r="O2924" s="29"/>
      <c r="P2924" s="29"/>
      <c r="Q2924" s="29"/>
      <c r="R2924" s="29"/>
      <c r="S2924" s="29"/>
    </row>
    <row r="2925" spans="13:19" ht="16.5" customHeight="1" x14ac:dyDescent="0.2">
      <c r="M2925" s="29"/>
      <c r="N2925" s="29"/>
      <c r="O2925" s="29"/>
      <c r="P2925" s="29"/>
      <c r="Q2925" s="29"/>
      <c r="R2925" s="29"/>
      <c r="S2925" s="29"/>
    </row>
    <row r="2926" spans="13:19" ht="16.5" customHeight="1" x14ac:dyDescent="0.2">
      <c r="M2926" s="29"/>
      <c r="N2926" s="29"/>
      <c r="O2926" s="29"/>
      <c r="P2926" s="29"/>
      <c r="Q2926" s="29"/>
      <c r="R2926" s="29"/>
      <c r="S2926" s="29"/>
    </row>
    <row r="2927" spans="13:19" ht="16.5" customHeight="1" x14ac:dyDescent="0.2">
      <c r="M2927" s="29"/>
      <c r="N2927" s="29"/>
      <c r="O2927" s="29"/>
      <c r="P2927" s="29"/>
      <c r="Q2927" s="29"/>
      <c r="R2927" s="29"/>
      <c r="S2927" s="29"/>
    </row>
    <row r="2928" spans="13:19" ht="16.5" customHeight="1" x14ac:dyDescent="0.2">
      <c r="M2928" s="29"/>
      <c r="N2928" s="29"/>
      <c r="O2928" s="29"/>
      <c r="P2928" s="29"/>
      <c r="Q2928" s="29"/>
      <c r="R2928" s="29"/>
      <c r="S2928" s="29"/>
    </row>
    <row r="2929" spans="13:19" ht="16.5" customHeight="1" x14ac:dyDescent="0.2">
      <c r="M2929" s="29"/>
      <c r="N2929" s="29"/>
      <c r="O2929" s="29"/>
      <c r="P2929" s="29"/>
      <c r="Q2929" s="29"/>
      <c r="R2929" s="29"/>
      <c r="S2929" s="29"/>
    </row>
    <row r="2930" spans="13:19" ht="16.5" customHeight="1" x14ac:dyDescent="0.2">
      <c r="M2930" s="29"/>
      <c r="N2930" s="29"/>
      <c r="O2930" s="29"/>
      <c r="P2930" s="29"/>
      <c r="Q2930" s="29"/>
      <c r="R2930" s="29"/>
      <c r="S2930" s="29"/>
    </row>
    <row r="2931" spans="13:19" ht="16.5" customHeight="1" x14ac:dyDescent="0.2">
      <c r="M2931" s="29"/>
      <c r="N2931" s="29"/>
      <c r="O2931" s="29"/>
      <c r="P2931" s="29"/>
      <c r="Q2931" s="29"/>
      <c r="R2931" s="29"/>
      <c r="S2931" s="29"/>
    </row>
    <row r="2932" spans="13:19" ht="16.5" customHeight="1" x14ac:dyDescent="0.2">
      <c r="M2932" s="29"/>
      <c r="N2932" s="29"/>
      <c r="O2932" s="29"/>
      <c r="P2932" s="29"/>
      <c r="Q2932" s="29"/>
      <c r="R2932" s="29"/>
      <c r="S2932" s="29"/>
    </row>
    <row r="2933" spans="13:19" ht="16.5" customHeight="1" x14ac:dyDescent="0.2">
      <c r="M2933" s="29"/>
      <c r="N2933" s="29"/>
      <c r="O2933" s="29"/>
      <c r="P2933" s="29"/>
      <c r="Q2933" s="29"/>
      <c r="R2933" s="29"/>
      <c r="S2933" s="29"/>
    </row>
    <row r="2934" spans="13:19" ht="16.5" customHeight="1" x14ac:dyDescent="0.2">
      <c r="M2934" s="29"/>
      <c r="N2934" s="29"/>
      <c r="O2934" s="29"/>
      <c r="P2934" s="29"/>
      <c r="Q2934" s="29"/>
      <c r="R2934" s="29"/>
      <c r="S2934" s="29"/>
    </row>
    <row r="2935" spans="13:19" ht="16.5" customHeight="1" x14ac:dyDescent="0.2">
      <c r="M2935" s="29"/>
      <c r="N2935" s="29"/>
      <c r="O2935" s="29"/>
      <c r="P2935" s="29"/>
      <c r="Q2935" s="29"/>
      <c r="R2935" s="29"/>
      <c r="S2935" s="29"/>
    </row>
    <row r="2936" spans="13:19" ht="16.5" customHeight="1" x14ac:dyDescent="0.2">
      <c r="M2936" s="29"/>
      <c r="N2936" s="29"/>
      <c r="O2936" s="29"/>
      <c r="P2936" s="29"/>
      <c r="Q2936" s="29"/>
      <c r="R2936" s="29"/>
      <c r="S2936" s="29"/>
    </row>
    <row r="2937" spans="13:19" ht="16.5" customHeight="1" x14ac:dyDescent="0.2">
      <c r="M2937" s="29"/>
      <c r="N2937" s="29"/>
      <c r="O2937" s="29"/>
      <c r="P2937" s="29"/>
      <c r="Q2937" s="29"/>
      <c r="R2937" s="29"/>
      <c r="S2937" s="29"/>
    </row>
    <row r="2938" spans="13:19" ht="16.5" customHeight="1" x14ac:dyDescent="0.2">
      <c r="M2938" s="29"/>
      <c r="N2938" s="29"/>
      <c r="O2938" s="29"/>
      <c r="P2938" s="29"/>
      <c r="Q2938" s="29"/>
      <c r="R2938" s="29"/>
      <c r="S2938" s="29"/>
    </row>
    <row r="2939" spans="13:19" ht="16.5" customHeight="1" x14ac:dyDescent="0.2">
      <c r="M2939" s="29"/>
      <c r="N2939" s="29"/>
      <c r="O2939" s="29"/>
      <c r="P2939" s="29"/>
      <c r="Q2939" s="29"/>
      <c r="R2939" s="29"/>
      <c r="S2939" s="29"/>
    </row>
    <row r="2940" spans="13:19" ht="16.5" customHeight="1" x14ac:dyDescent="0.2">
      <c r="M2940" s="29"/>
      <c r="N2940" s="29"/>
      <c r="O2940" s="29"/>
      <c r="P2940" s="29"/>
      <c r="Q2940" s="29"/>
      <c r="R2940" s="29"/>
      <c r="S2940" s="29"/>
    </row>
    <row r="2941" spans="13:19" ht="16.5" customHeight="1" x14ac:dyDescent="0.2">
      <c r="M2941" s="29"/>
      <c r="N2941" s="29"/>
      <c r="O2941" s="29"/>
      <c r="P2941" s="29"/>
      <c r="Q2941" s="29"/>
      <c r="R2941" s="29"/>
      <c r="S2941" s="29"/>
    </row>
    <row r="2942" spans="13:19" ht="16.5" customHeight="1" x14ac:dyDescent="0.2">
      <c r="M2942" s="29"/>
      <c r="N2942" s="29"/>
      <c r="O2942" s="29"/>
      <c r="P2942" s="29"/>
      <c r="Q2942" s="29"/>
      <c r="R2942" s="29"/>
      <c r="S2942" s="29"/>
    </row>
    <row r="2943" spans="13:19" ht="16.5" customHeight="1" x14ac:dyDescent="0.2">
      <c r="M2943" s="29"/>
      <c r="N2943" s="29"/>
      <c r="O2943" s="29"/>
      <c r="P2943" s="29"/>
      <c r="Q2943" s="29"/>
      <c r="R2943" s="29"/>
      <c r="S2943" s="29"/>
    </row>
    <row r="2944" spans="13:19" ht="16.5" customHeight="1" x14ac:dyDescent="0.2">
      <c r="M2944" s="29"/>
      <c r="N2944" s="29"/>
      <c r="O2944" s="29"/>
      <c r="P2944" s="29"/>
      <c r="Q2944" s="29"/>
      <c r="R2944" s="29"/>
      <c r="S2944" s="29"/>
    </row>
    <row r="2945" spans="13:19" ht="16.5" customHeight="1" x14ac:dyDescent="0.2">
      <c r="M2945" s="29"/>
      <c r="N2945" s="29"/>
      <c r="O2945" s="29"/>
      <c r="P2945" s="29"/>
      <c r="Q2945" s="29"/>
      <c r="R2945" s="29"/>
      <c r="S2945" s="29"/>
    </row>
    <row r="2946" spans="13:19" ht="16.5" customHeight="1" x14ac:dyDescent="0.2">
      <c r="M2946" s="29"/>
      <c r="N2946" s="29"/>
      <c r="O2946" s="29"/>
      <c r="P2946" s="29"/>
      <c r="Q2946" s="29"/>
      <c r="R2946" s="29"/>
      <c r="S2946" s="29"/>
    </row>
    <row r="2947" spans="13:19" ht="16.5" customHeight="1" x14ac:dyDescent="0.2">
      <c r="M2947" s="29"/>
      <c r="N2947" s="29"/>
      <c r="O2947" s="29"/>
      <c r="P2947" s="29"/>
      <c r="Q2947" s="29"/>
      <c r="R2947" s="29"/>
      <c r="S2947" s="29"/>
    </row>
    <row r="2948" spans="13:19" ht="16.5" customHeight="1" x14ac:dyDescent="0.2">
      <c r="M2948" s="29"/>
      <c r="N2948" s="29"/>
      <c r="O2948" s="29"/>
      <c r="P2948" s="29"/>
      <c r="Q2948" s="29"/>
      <c r="R2948" s="29"/>
      <c r="S2948" s="29"/>
    </row>
    <row r="2949" spans="13:19" ht="16.5" customHeight="1" x14ac:dyDescent="0.2">
      <c r="M2949" s="29"/>
      <c r="N2949" s="29"/>
      <c r="O2949" s="29"/>
      <c r="P2949" s="29"/>
      <c r="Q2949" s="29"/>
      <c r="R2949" s="29"/>
      <c r="S2949" s="29"/>
    </row>
    <row r="2950" spans="13:19" ht="16.5" customHeight="1" x14ac:dyDescent="0.2">
      <c r="M2950" s="29"/>
      <c r="N2950" s="29"/>
      <c r="O2950" s="29"/>
      <c r="P2950" s="29"/>
      <c r="Q2950" s="29"/>
      <c r="R2950" s="29"/>
      <c r="S2950" s="29"/>
    </row>
    <row r="2951" spans="13:19" ht="16.5" customHeight="1" x14ac:dyDescent="0.2">
      <c r="M2951" s="29"/>
      <c r="N2951" s="29"/>
      <c r="O2951" s="29"/>
      <c r="P2951" s="29"/>
      <c r="Q2951" s="29"/>
      <c r="R2951" s="29"/>
      <c r="S2951" s="29"/>
    </row>
    <row r="2952" spans="13:19" ht="16.5" customHeight="1" x14ac:dyDescent="0.2">
      <c r="M2952" s="29"/>
      <c r="N2952" s="29"/>
      <c r="O2952" s="29"/>
      <c r="P2952" s="29"/>
      <c r="Q2952" s="29"/>
      <c r="R2952" s="29"/>
      <c r="S2952" s="29"/>
    </row>
    <row r="2953" spans="13:19" ht="16.5" customHeight="1" x14ac:dyDescent="0.2">
      <c r="M2953" s="29"/>
      <c r="N2953" s="29"/>
      <c r="O2953" s="29"/>
      <c r="P2953" s="29"/>
      <c r="Q2953" s="29"/>
      <c r="R2953" s="29"/>
      <c r="S2953" s="29"/>
    </row>
    <row r="2954" spans="13:19" ht="16.5" customHeight="1" x14ac:dyDescent="0.2">
      <c r="M2954" s="29"/>
      <c r="N2954" s="29"/>
      <c r="O2954" s="29"/>
      <c r="P2954" s="29"/>
      <c r="Q2954" s="29"/>
      <c r="R2954" s="29"/>
      <c r="S2954" s="29"/>
    </row>
    <row r="2955" spans="13:19" ht="16.5" customHeight="1" x14ac:dyDescent="0.2">
      <c r="M2955" s="29"/>
      <c r="N2955" s="29"/>
      <c r="O2955" s="29"/>
      <c r="P2955" s="29"/>
      <c r="Q2955" s="29"/>
      <c r="R2955" s="29"/>
      <c r="S2955" s="29"/>
    </row>
    <row r="2956" spans="13:19" ht="16.5" customHeight="1" x14ac:dyDescent="0.2">
      <c r="M2956" s="29"/>
      <c r="N2956" s="29"/>
      <c r="O2956" s="29"/>
      <c r="P2956" s="29"/>
      <c r="Q2956" s="29"/>
      <c r="R2956" s="29"/>
      <c r="S2956" s="29"/>
    </row>
    <row r="2957" spans="13:19" ht="16.5" customHeight="1" x14ac:dyDescent="0.2">
      <c r="M2957" s="29"/>
      <c r="N2957" s="29"/>
      <c r="O2957" s="29"/>
      <c r="P2957" s="29"/>
      <c r="Q2957" s="29"/>
      <c r="R2957" s="29"/>
      <c r="S2957" s="29"/>
    </row>
    <row r="2958" spans="13:19" ht="16.5" customHeight="1" x14ac:dyDescent="0.2">
      <c r="M2958" s="29"/>
      <c r="N2958" s="29"/>
      <c r="O2958" s="29"/>
      <c r="P2958" s="29"/>
      <c r="Q2958" s="29"/>
      <c r="R2958" s="29"/>
      <c r="S2958" s="29"/>
    </row>
    <row r="2959" spans="13:19" ht="16.5" customHeight="1" x14ac:dyDescent="0.2">
      <c r="M2959" s="29"/>
      <c r="N2959" s="29"/>
      <c r="O2959" s="29"/>
      <c r="P2959" s="29"/>
      <c r="Q2959" s="29"/>
      <c r="R2959" s="29"/>
      <c r="S2959" s="29"/>
    </row>
    <row r="2960" spans="13:19" ht="16.5" customHeight="1" x14ac:dyDescent="0.2">
      <c r="M2960" s="29"/>
      <c r="N2960" s="29"/>
      <c r="O2960" s="29"/>
      <c r="P2960" s="29"/>
      <c r="Q2960" s="29"/>
      <c r="R2960" s="29"/>
      <c r="S2960" s="29"/>
    </row>
    <row r="2961" spans="13:19" ht="16.5" customHeight="1" x14ac:dyDescent="0.2">
      <c r="M2961" s="29"/>
      <c r="N2961" s="29"/>
      <c r="O2961" s="29"/>
      <c r="P2961" s="29"/>
      <c r="Q2961" s="29"/>
      <c r="R2961" s="29"/>
      <c r="S2961" s="29"/>
    </row>
    <row r="2962" spans="13:19" ht="16.5" customHeight="1" x14ac:dyDescent="0.2">
      <c r="M2962" s="29"/>
      <c r="N2962" s="29"/>
      <c r="O2962" s="29"/>
      <c r="P2962" s="29"/>
      <c r="Q2962" s="29"/>
      <c r="R2962" s="29"/>
      <c r="S2962" s="29"/>
    </row>
    <row r="2963" spans="13:19" ht="16.5" customHeight="1" x14ac:dyDescent="0.2">
      <c r="M2963" s="29"/>
      <c r="N2963" s="29"/>
      <c r="O2963" s="29"/>
      <c r="P2963" s="29"/>
      <c r="Q2963" s="29"/>
      <c r="R2963" s="29"/>
      <c r="S2963" s="29"/>
    </row>
    <row r="2964" spans="13:19" ht="16.5" customHeight="1" x14ac:dyDescent="0.2">
      <c r="M2964" s="29"/>
      <c r="N2964" s="29"/>
      <c r="O2964" s="29"/>
      <c r="P2964" s="29"/>
      <c r="Q2964" s="29"/>
      <c r="R2964" s="29"/>
      <c r="S2964" s="29"/>
    </row>
    <row r="2965" spans="13:19" ht="16.5" customHeight="1" x14ac:dyDescent="0.2">
      <c r="M2965" s="29"/>
      <c r="N2965" s="29"/>
      <c r="O2965" s="29"/>
      <c r="P2965" s="29"/>
      <c r="Q2965" s="29"/>
      <c r="R2965" s="29"/>
      <c r="S2965" s="29"/>
    </row>
    <row r="2966" spans="13:19" ht="16.5" customHeight="1" x14ac:dyDescent="0.2">
      <c r="M2966" s="29"/>
      <c r="N2966" s="29"/>
      <c r="O2966" s="29"/>
      <c r="P2966" s="29"/>
      <c r="Q2966" s="29"/>
      <c r="R2966" s="29"/>
      <c r="S2966" s="29"/>
    </row>
    <row r="2967" spans="13:19" ht="16.5" customHeight="1" x14ac:dyDescent="0.2">
      <c r="M2967" s="29"/>
      <c r="N2967" s="29"/>
      <c r="O2967" s="29"/>
      <c r="P2967" s="29"/>
      <c r="Q2967" s="29"/>
      <c r="R2967" s="29"/>
      <c r="S2967" s="29"/>
    </row>
    <row r="2968" spans="13:19" ht="16.5" customHeight="1" x14ac:dyDescent="0.2">
      <c r="M2968" s="29"/>
      <c r="N2968" s="29"/>
      <c r="O2968" s="29"/>
      <c r="P2968" s="29"/>
      <c r="Q2968" s="29"/>
      <c r="R2968" s="29"/>
      <c r="S2968" s="29"/>
    </row>
    <row r="2969" spans="13:19" ht="16.5" customHeight="1" x14ac:dyDescent="0.2">
      <c r="M2969" s="29"/>
      <c r="N2969" s="29"/>
      <c r="O2969" s="29"/>
      <c r="P2969" s="29"/>
      <c r="Q2969" s="29"/>
      <c r="R2969" s="29"/>
      <c r="S2969" s="29"/>
    </row>
    <row r="2970" spans="13:19" ht="16.5" customHeight="1" x14ac:dyDescent="0.2">
      <c r="M2970" s="29"/>
      <c r="N2970" s="29"/>
      <c r="O2970" s="29"/>
      <c r="P2970" s="29"/>
      <c r="Q2970" s="29"/>
      <c r="R2970" s="29"/>
      <c r="S2970" s="29"/>
    </row>
    <row r="2971" spans="13:19" ht="16.5" customHeight="1" x14ac:dyDescent="0.2">
      <c r="M2971" s="29"/>
      <c r="N2971" s="29"/>
      <c r="O2971" s="29"/>
      <c r="P2971" s="29"/>
      <c r="Q2971" s="29"/>
      <c r="R2971" s="29"/>
      <c r="S2971" s="29"/>
    </row>
    <row r="2972" spans="13:19" ht="16.5" customHeight="1" x14ac:dyDescent="0.2">
      <c r="M2972" s="29"/>
      <c r="N2972" s="29"/>
      <c r="O2972" s="29"/>
      <c r="P2972" s="29"/>
      <c r="Q2972" s="29"/>
      <c r="R2972" s="29"/>
      <c r="S2972" s="29"/>
    </row>
    <row r="2973" spans="13:19" ht="16.5" customHeight="1" x14ac:dyDescent="0.2">
      <c r="M2973" s="29"/>
      <c r="N2973" s="29"/>
      <c r="O2973" s="29"/>
      <c r="P2973" s="29"/>
      <c r="Q2973" s="29"/>
      <c r="R2973" s="29"/>
      <c r="S2973" s="29"/>
    </row>
    <row r="2974" spans="13:19" ht="16.5" customHeight="1" x14ac:dyDescent="0.2">
      <c r="M2974" s="29"/>
      <c r="N2974" s="29"/>
      <c r="O2974" s="29"/>
      <c r="P2974" s="29"/>
      <c r="Q2974" s="29"/>
      <c r="R2974" s="29"/>
      <c r="S2974" s="29"/>
    </row>
    <row r="2975" spans="13:19" ht="16.5" customHeight="1" x14ac:dyDescent="0.2">
      <c r="M2975" s="29"/>
      <c r="N2975" s="29"/>
      <c r="O2975" s="29"/>
      <c r="P2975" s="29"/>
      <c r="Q2975" s="29"/>
      <c r="R2975" s="29"/>
      <c r="S2975" s="29"/>
    </row>
    <row r="2976" spans="13:19" ht="16.5" customHeight="1" x14ac:dyDescent="0.2">
      <c r="M2976" s="29"/>
      <c r="N2976" s="29"/>
      <c r="O2976" s="29"/>
      <c r="P2976" s="29"/>
      <c r="Q2976" s="29"/>
      <c r="R2976" s="29"/>
      <c r="S2976" s="29"/>
    </row>
    <row r="2977" spans="13:19" ht="16.5" customHeight="1" x14ac:dyDescent="0.2">
      <c r="M2977" s="29"/>
      <c r="N2977" s="29"/>
      <c r="O2977" s="29"/>
      <c r="P2977" s="29"/>
      <c r="Q2977" s="29"/>
      <c r="R2977" s="29"/>
      <c r="S2977" s="29"/>
    </row>
    <row r="2978" spans="13:19" ht="16.5" customHeight="1" x14ac:dyDescent="0.2">
      <c r="M2978" s="29"/>
      <c r="N2978" s="29"/>
      <c r="O2978" s="29"/>
      <c r="P2978" s="29"/>
      <c r="Q2978" s="29"/>
      <c r="R2978" s="29"/>
      <c r="S2978" s="29"/>
    </row>
    <row r="2979" spans="13:19" ht="16.5" customHeight="1" x14ac:dyDescent="0.2">
      <c r="M2979" s="29"/>
      <c r="N2979" s="29"/>
      <c r="O2979" s="29"/>
      <c r="P2979" s="29"/>
      <c r="Q2979" s="29"/>
      <c r="R2979" s="29"/>
      <c r="S2979" s="29"/>
    </row>
    <row r="2980" spans="13:19" ht="16.5" customHeight="1" x14ac:dyDescent="0.2">
      <c r="M2980" s="29"/>
      <c r="N2980" s="29"/>
      <c r="O2980" s="29"/>
      <c r="P2980" s="29"/>
      <c r="Q2980" s="29"/>
      <c r="R2980" s="29"/>
      <c r="S2980" s="29"/>
    </row>
    <row r="2981" spans="13:19" ht="16.5" customHeight="1" x14ac:dyDescent="0.2">
      <c r="M2981" s="29"/>
      <c r="N2981" s="29"/>
      <c r="O2981" s="29"/>
      <c r="P2981" s="29"/>
      <c r="Q2981" s="29"/>
      <c r="R2981" s="29"/>
      <c r="S2981" s="29"/>
    </row>
    <row r="2982" spans="13:19" ht="16.5" customHeight="1" x14ac:dyDescent="0.2">
      <c r="M2982" s="29"/>
      <c r="N2982" s="29"/>
      <c r="O2982" s="29"/>
      <c r="P2982" s="29"/>
      <c r="Q2982" s="29"/>
      <c r="R2982" s="29"/>
      <c r="S2982" s="29"/>
    </row>
    <row r="2983" spans="13:19" ht="16.5" customHeight="1" x14ac:dyDescent="0.2">
      <c r="M2983" s="29"/>
      <c r="N2983" s="29"/>
      <c r="O2983" s="29"/>
      <c r="P2983" s="29"/>
      <c r="Q2983" s="29"/>
      <c r="R2983" s="29"/>
      <c r="S2983" s="29"/>
    </row>
    <row r="2984" spans="13:19" ht="16.5" customHeight="1" x14ac:dyDescent="0.2">
      <c r="M2984" s="29"/>
      <c r="N2984" s="29"/>
      <c r="O2984" s="29"/>
      <c r="P2984" s="29"/>
      <c r="Q2984" s="29"/>
      <c r="R2984" s="29"/>
      <c r="S2984" s="29"/>
    </row>
    <row r="2985" spans="13:19" ht="16.5" customHeight="1" x14ac:dyDescent="0.2">
      <c r="M2985" s="29"/>
      <c r="N2985" s="29"/>
      <c r="O2985" s="29"/>
      <c r="P2985" s="29"/>
      <c r="Q2985" s="29"/>
      <c r="R2985" s="29"/>
      <c r="S2985" s="29"/>
    </row>
    <row r="2986" spans="13:19" ht="16.5" customHeight="1" x14ac:dyDescent="0.2">
      <c r="M2986" s="29"/>
      <c r="N2986" s="29"/>
      <c r="O2986" s="29"/>
      <c r="P2986" s="29"/>
      <c r="Q2986" s="29"/>
      <c r="R2986" s="29"/>
      <c r="S2986" s="29"/>
    </row>
    <row r="2987" spans="13:19" ht="16.5" customHeight="1" x14ac:dyDescent="0.2">
      <c r="M2987" s="29"/>
      <c r="N2987" s="29"/>
      <c r="O2987" s="29"/>
      <c r="P2987" s="29"/>
      <c r="Q2987" s="29"/>
      <c r="R2987" s="29"/>
      <c r="S2987" s="29"/>
    </row>
    <row r="2988" spans="13:19" ht="16.5" customHeight="1" x14ac:dyDescent="0.2">
      <c r="M2988" s="29"/>
      <c r="N2988" s="29"/>
      <c r="O2988" s="29"/>
      <c r="P2988" s="29"/>
      <c r="Q2988" s="29"/>
      <c r="R2988" s="29"/>
      <c r="S2988" s="29"/>
    </row>
    <row r="2989" spans="13:19" ht="16.5" customHeight="1" x14ac:dyDescent="0.2">
      <c r="M2989" s="29"/>
      <c r="N2989" s="29"/>
      <c r="O2989" s="29"/>
      <c r="P2989" s="29"/>
      <c r="Q2989" s="29"/>
      <c r="R2989" s="29"/>
      <c r="S2989" s="29"/>
    </row>
    <row r="2990" spans="13:19" ht="16.5" customHeight="1" x14ac:dyDescent="0.2">
      <c r="M2990" s="29"/>
      <c r="N2990" s="29"/>
      <c r="O2990" s="29"/>
      <c r="P2990" s="29"/>
      <c r="Q2990" s="29"/>
      <c r="R2990" s="29"/>
      <c r="S2990" s="29"/>
    </row>
    <row r="2991" spans="13:19" ht="16.5" customHeight="1" x14ac:dyDescent="0.2">
      <c r="M2991" s="29"/>
      <c r="N2991" s="29"/>
      <c r="O2991" s="29"/>
      <c r="P2991" s="29"/>
      <c r="Q2991" s="29"/>
      <c r="R2991" s="29"/>
      <c r="S2991" s="29"/>
    </row>
    <row r="2992" spans="13:19" ht="16.5" customHeight="1" x14ac:dyDescent="0.2">
      <c r="M2992" s="29"/>
      <c r="N2992" s="29"/>
      <c r="O2992" s="29"/>
      <c r="P2992" s="29"/>
      <c r="Q2992" s="29"/>
      <c r="R2992" s="29"/>
      <c r="S2992" s="29"/>
    </row>
    <row r="2993" spans="13:19" ht="16.5" customHeight="1" x14ac:dyDescent="0.2">
      <c r="M2993" s="29"/>
      <c r="N2993" s="29"/>
      <c r="O2993" s="29"/>
      <c r="P2993" s="29"/>
      <c r="Q2993" s="29"/>
      <c r="R2993" s="29"/>
      <c r="S2993" s="29"/>
    </row>
    <row r="2994" spans="13:19" ht="16.5" customHeight="1" x14ac:dyDescent="0.2">
      <c r="M2994" s="29"/>
      <c r="N2994" s="29"/>
      <c r="O2994" s="29"/>
      <c r="P2994" s="29"/>
      <c r="Q2994" s="29"/>
      <c r="R2994" s="29"/>
      <c r="S2994" s="29"/>
    </row>
    <row r="2995" spans="13:19" ht="16.5" customHeight="1" x14ac:dyDescent="0.2">
      <c r="M2995" s="29"/>
      <c r="N2995" s="29"/>
      <c r="O2995" s="29"/>
      <c r="P2995" s="29"/>
      <c r="Q2995" s="29"/>
      <c r="R2995" s="29"/>
      <c r="S2995" s="29"/>
    </row>
    <row r="2996" spans="13:19" ht="16.5" customHeight="1" x14ac:dyDescent="0.2">
      <c r="M2996" s="29"/>
      <c r="N2996" s="29"/>
      <c r="O2996" s="29"/>
      <c r="P2996" s="29"/>
      <c r="Q2996" s="29"/>
      <c r="R2996" s="29"/>
      <c r="S2996" s="29"/>
    </row>
    <row r="2997" spans="13:19" ht="16.5" customHeight="1" x14ac:dyDescent="0.2">
      <c r="M2997" s="29"/>
      <c r="N2997" s="29"/>
      <c r="O2997" s="29"/>
      <c r="P2997" s="29"/>
      <c r="Q2997" s="29"/>
      <c r="R2997" s="29"/>
      <c r="S2997" s="29"/>
    </row>
    <row r="2998" spans="13:19" ht="16.5" customHeight="1" x14ac:dyDescent="0.2">
      <c r="M2998" s="29"/>
      <c r="N2998" s="29"/>
      <c r="O2998" s="29"/>
      <c r="P2998" s="29"/>
      <c r="Q2998" s="29"/>
      <c r="R2998" s="29"/>
      <c r="S2998" s="29"/>
    </row>
    <row r="2999" spans="13:19" ht="16.5" customHeight="1" x14ac:dyDescent="0.2">
      <c r="M2999" s="29"/>
      <c r="N2999" s="29"/>
      <c r="O2999" s="29"/>
      <c r="P2999" s="29"/>
      <c r="Q2999" s="29"/>
      <c r="R2999" s="29"/>
      <c r="S2999" s="29"/>
    </row>
    <row r="3000" spans="13:19" ht="16.5" customHeight="1" x14ac:dyDescent="0.2">
      <c r="M3000" s="29"/>
      <c r="N3000" s="29"/>
      <c r="O3000" s="29"/>
      <c r="P3000" s="29"/>
      <c r="Q3000" s="29"/>
      <c r="R3000" s="29"/>
      <c r="S3000" s="29"/>
    </row>
    <row r="3001" spans="13:19" ht="16.5" customHeight="1" x14ac:dyDescent="0.2">
      <c r="M3001" s="29"/>
      <c r="N3001" s="29"/>
      <c r="O3001" s="29"/>
      <c r="P3001" s="29"/>
      <c r="Q3001" s="29"/>
      <c r="R3001" s="29"/>
      <c r="S3001" s="29"/>
    </row>
    <row r="3002" spans="13:19" ht="16.5" customHeight="1" x14ac:dyDescent="0.2">
      <c r="M3002" s="29"/>
      <c r="N3002" s="29"/>
      <c r="O3002" s="29"/>
      <c r="P3002" s="29"/>
      <c r="Q3002" s="29"/>
      <c r="R3002" s="29"/>
      <c r="S3002" s="29"/>
    </row>
    <row r="3003" spans="13:19" ht="16.5" customHeight="1" x14ac:dyDescent="0.2">
      <c r="M3003" s="29"/>
      <c r="N3003" s="29"/>
      <c r="O3003" s="29"/>
      <c r="P3003" s="29"/>
      <c r="Q3003" s="29"/>
      <c r="R3003" s="29"/>
      <c r="S3003" s="29"/>
    </row>
    <row r="3004" spans="13:19" ht="16.5" customHeight="1" x14ac:dyDescent="0.2">
      <c r="M3004" s="29"/>
      <c r="N3004" s="29"/>
      <c r="O3004" s="29"/>
      <c r="P3004" s="29"/>
      <c r="Q3004" s="29"/>
      <c r="R3004" s="29"/>
      <c r="S3004" s="29"/>
    </row>
    <row r="3005" spans="13:19" ht="16.5" customHeight="1" x14ac:dyDescent="0.2">
      <c r="M3005" s="29"/>
      <c r="N3005" s="29"/>
      <c r="O3005" s="29"/>
      <c r="P3005" s="29"/>
      <c r="Q3005" s="29"/>
      <c r="R3005" s="29"/>
      <c r="S3005" s="29"/>
    </row>
    <row r="3006" spans="13:19" ht="16.5" customHeight="1" x14ac:dyDescent="0.2">
      <c r="M3006" s="29"/>
      <c r="N3006" s="29"/>
      <c r="O3006" s="29"/>
      <c r="P3006" s="29"/>
      <c r="Q3006" s="29"/>
      <c r="R3006" s="29"/>
      <c r="S3006" s="29"/>
    </row>
    <row r="3007" spans="13:19" ht="16.5" customHeight="1" x14ac:dyDescent="0.2">
      <c r="M3007" s="29"/>
      <c r="N3007" s="29"/>
      <c r="O3007" s="29"/>
      <c r="P3007" s="29"/>
      <c r="Q3007" s="29"/>
      <c r="R3007" s="29"/>
      <c r="S3007" s="29"/>
    </row>
    <row r="3008" spans="13:19" ht="16.5" customHeight="1" x14ac:dyDescent="0.2">
      <c r="M3008" s="29"/>
      <c r="N3008" s="29"/>
      <c r="O3008" s="29"/>
      <c r="P3008" s="29"/>
      <c r="Q3008" s="29"/>
      <c r="R3008" s="29"/>
      <c r="S3008" s="29"/>
    </row>
    <row r="3009" spans="13:19" ht="16.5" customHeight="1" x14ac:dyDescent="0.2">
      <c r="M3009" s="29"/>
      <c r="N3009" s="29"/>
      <c r="O3009" s="29"/>
      <c r="P3009" s="29"/>
      <c r="Q3009" s="29"/>
      <c r="R3009" s="29"/>
      <c r="S3009" s="29"/>
    </row>
    <row r="3010" spans="13:19" ht="16.5" customHeight="1" x14ac:dyDescent="0.2">
      <c r="M3010" s="29"/>
      <c r="N3010" s="29"/>
      <c r="O3010" s="29"/>
      <c r="P3010" s="29"/>
      <c r="Q3010" s="29"/>
      <c r="R3010" s="29"/>
      <c r="S3010" s="29"/>
    </row>
  </sheetData>
  <autoFilter ref="A1:T217" xr:uid="{00000000-0009-0000-0000-000004000000}"/>
  <pageMargins left="0.7" right="0.7" top="0.75" bottom="0.75" header="0.3" footer="0.3"/>
  <pageSetup orientation="portrait"/>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workbookViewId="0">
      <selection sqref="A1:G14"/>
    </sheetView>
  </sheetViews>
  <sheetFormatPr baseColWidth="10" defaultColWidth="8.83203125" defaultRowHeight="15" x14ac:dyDescent="0.2"/>
  <cols>
    <col min="1" max="1" width="38.5" style="54" customWidth="1"/>
    <col min="2" max="2" width="29.1640625" style="29" customWidth="1"/>
    <col min="3" max="3" width="17.5" style="29" customWidth="1"/>
    <col min="4" max="4" width="9.33203125" style="29" bestFit="1" customWidth="1"/>
    <col min="5" max="5" width="9" style="29" bestFit="1" customWidth="1"/>
    <col min="6" max="6" width="7.83203125" style="29" customWidth="1"/>
    <col min="7" max="7" width="9" style="29" bestFit="1" customWidth="1"/>
    <col min="8" max="8" width="8.83203125" style="29" customWidth="1"/>
    <col min="9" max="16384" width="8.83203125" style="29"/>
  </cols>
  <sheetData>
    <row r="1" spans="1:7" ht="16" x14ac:dyDescent="0.2">
      <c r="A1" s="54" t="s">
        <v>221</v>
      </c>
      <c r="B1" s="29" t="s">
        <v>222</v>
      </c>
      <c r="C1" s="29" t="s">
        <v>195</v>
      </c>
      <c r="D1" s="55" t="s">
        <v>196</v>
      </c>
      <c r="E1" s="55" t="s">
        <v>450</v>
      </c>
      <c r="F1" s="56" t="s">
        <v>198</v>
      </c>
      <c r="G1" s="57" t="s">
        <v>199</v>
      </c>
    </row>
    <row r="2" spans="1:7" ht="29.5" customHeight="1" thickBot="1" x14ac:dyDescent="0.25">
      <c r="A2" s="54" t="s">
        <v>226</v>
      </c>
      <c r="B2" s="29" t="s">
        <v>227</v>
      </c>
      <c r="C2" s="29">
        <v>85</v>
      </c>
      <c r="D2" s="29">
        <v>83</v>
      </c>
      <c r="E2" s="29">
        <v>32</v>
      </c>
      <c r="F2" s="58">
        <v>10</v>
      </c>
      <c r="G2" s="59">
        <v>6</v>
      </c>
    </row>
    <row r="3" spans="1:7" ht="16" x14ac:dyDescent="0.2">
      <c r="A3" s="54" t="s">
        <v>229</v>
      </c>
      <c r="B3" s="29" t="s">
        <v>230</v>
      </c>
      <c r="C3" s="60">
        <v>15.39233582117647</v>
      </c>
      <c r="D3" s="60">
        <v>16.221554110843371</v>
      </c>
      <c r="E3" s="60">
        <v>17.565884324999999</v>
      </c>
      <c r="F3" s="60">
        <v>21.205525439999999</v>
      </c>
      <c r="G3" s="60">
        <v>31.9701624</v>
      </c>
    </row>
    <row r="4" spans="1:7" ht="16" x14ac:dyDescent="0.2">
      <c r="A4" s="54" t="s">
        <v>232</v>
      </c>
      <c r="B4" s="29" t="s">
        <v>233</v>
      </c>
      <c r="C4" s="60">
        <v>12.41829341176471</v>
      </c>
      <c r="D4" s="60">
        <v>12.384354506024099</v>
      </c>
      <c r="E4" s="60">
        <v>15.542456325</v>
      </c>
      <c r="F4" s="60">
        <v>16.106486879999999</v>
      </c>
      <c r="G4" s="60">
        <v>20.86379093333333</v>
      </c>
    </row>
    <row r="5" spans="1:7" ht="16" x14ac:dyDescent="0.2">
      <c r="A5" s="54" t="s">
        <v>235</v>
      </c>
      <c r="B5" s="29" t="s">
        <v>236</v>
      </c>
      <c r="C5" s="60">
        <v>2.9740424094117639</v>
      </c>
      <c r="D5" s="60">
        <v>3.8371996048192751</v>
      </c>
      <c r="E5" s="60">
        <v>2.023428</v>
      </c>
      <c r="F5" s="60">
        <v>5.0990385599999994</v>
      </c>
      <c r="G5" s="60">
        <v>11.106371466666671</v>
      </c>
    </row>
    <row r="6" spans="1:7" ht="16" x14ac:dyDescent="0.2">
      <c r="A6" s="54" t="s">
        <v>238</v>
      </c>
      <c r="B6" s="29" t="s">
        <v>239</v>
      </c>
      <c r="C6" s="30">
        <v>0.2458221891460497</v>
      </c>
      <c r="D6" s="30">
        <v>0.3842337207882115</v>
      </c>
      <c r="E6" s="30">
        <v>0.13340351406350359</v>
      </c>
      <c r="F6" s="30">
        <v>0.33171611529032052</v>
      </c>
      <c r="G6" s="30">
        <v>0.54670730418222213</v>
      </c>
    </row>
    <row r="7" spans="1:7" ht="16" x14ac:dyDescent="0.2">
      <c r="A7" s="54" t="s">
        <v>241</v>
      </c>
      <c r="B7" s="29" t="s">
        <v>242</v>
      </c>
      <c r="C7" s="30">
        <v>0.23469387755102039</v>
      </c>
      <c r="D7" s="30">
        <v>0.34615384615384592</v>
      </c>
      <c r="E7" s="30">
        <v>0.12224209898628501</v>
      </c>
      <c r="F7" s="30">
        <v>0.24974489795918359</v>
      </c>
      <c r="G7" s="30">
        <v>0.56424990141400488</v>
      </c>
    </row>
    <row r="8" spans="1:7" ht="16" x14ac:dyDescent="0.2">
      <c r="A8" s="54" t="s">
        <v>244</v>
      </c>
      <c r="B8" s="29" t="s">
        <v>245</v>
      </c>
      <c r="C8" s="30">
        <v>0.24204520363776741</v>
      </c>
      <c r="D8" s="30">
        <v>0.36355568868533727</v>
      </c>
      <c r="E8" s="30">
        <v>0.13340351406350359</v>
      </c>
      <c r="F8" s="30">
        <v>0.33171611529032052</v>
      </c>
      <c r="G8" s="30">
        <v>0.54670730418222213</v>
      </c>
    </row>
    <row r="9" spans="1:7" ht="16" x14ac:dyDescent="0.2">
      <c r="A9" s="54" t="s">
        <v>247</v>
      </c>
      <c r="B9" s="29" t="s">
        <v>248</v>
      </c>
      <c r="C9" s="30">
        <v>6.896551724137942E-2</v>
      </c>
      <c r="D9" s="30">
        <v>-0.43902439024390227</v>
      </c>
      <c r="E9" s="30">
        <v>4.4444444444444307E-2</v>
      </c>
      <c r="F9" s="30">
        <v>6.451612903225816E-2</v>
      </c>
      <c r="G9" s="30">
        <v>0.28082191780821919</v>
      </c>
    </row>
    <row r="10" spans="1:7" ht="16" x14ac:dyDescent="0.2">
      <c r="A10" s="54" t="s">
        <v>250</v>
      </c>
      <c r="B10" s="29" t="s">
        <v>251</v>
      </c>
      <c r="C10" s="30">
        <v>0.64705882352941135</v>
      </c>
      <c r="D10" s="30">
        <v>1.9999999999999989</v>
      </c>
      <c r="E10" s="30">
        <v>0.33333333333333348</v>
      </c>
      <c r="F10" s="30">
        <v>0.74999999999999967</v>
      </c>
      <c r="G10" s="30">
        <v>0.73437500000000011</v>
      </c>
    </row>
    <row r="11" spans="1:7" ht="16" x14ac:dyDescent="0.2">
      <c r="A11" s="54" t="s">
        <v>253</v>
      </c>
      <c r="B11" s="29" t="s">
        <v>254</v>
      </c>
      <c r="C11" s="61">
        <v>21.583231999999999</v>
      </c>
      <c r="D11" s="61">
        <v>101.17140000000001</v>
      </c>
      <c r="E11" s="60">
        <v>21.043651199999999</v>
      </c>
      <c r="F11" s="61">
        <v>28.732677599999999</v>
      </c>
      <c r="G11" s="60">
        <v>41.412826399999993</v>
      </c>
    </row>
    <row r="12" spans="1:7" ht="16" x14ac:dyDescent="0.2">
      <c r="A12" s="54" t="s">
        <v>256</v>
      </c>
      <c r="B12" s="29" t="s">
        <v>254</v>
      </c>
      <c r="C12" s="61">
        <v>11.331196800000001</v>
      </c>
      <c r="D12" s="61">
        <v>6.4749695999999997</v>
      </c>
      <c r="E12" s="60">
        <v>15.378052800000001</v>
      </c>
      <c r="F12" s="61">
        <v>13.3546248</v>
      </c>
      <c r="G12" s="60">
        <v>21.987917599999999</v>
      </c>
    </row>
    <row r="13" spans="1:7" ht="16" x14ac:dyDescent="0.2">
      <c r="A13" s="54" t="s">
        <v>451</v>
      </c>
      <c r="B13" s="29" t="s">
        <v>254</v>
      </c>
      <c r="C13" s="62">
        <v>14890</v>
      </c>
      <c r="D13" s="62">
        <v>7050</v>
      </c>
      <c r="E13" s="62">
        <v>418.82999999999993</v>
      </c>
      <c r="F13" s="62">
        <v>910</v>
      </c>
      <c r="G13" s="62">
        <v>620</v>
      </c>
    </row>
    <row r="14" spans="1:7" ht="16" x14ac:dyDescent="0.2">
      <c r="A14" s="54" t="s">
        <v>452</v>
      </c>
      <c r="B14" s="29" t="s">
        <v>254</v>
      </c>
      <c r="C14" s="62">
        <v>1417.3</v>
      </c>
      <c r="D14" s="62">
        <v>657.11499999999967</v>
      </c>
      <c r="E14" s="62">
        <v>15.23</v>
      </c>
      <c r="F14" s="62">
        <v>96.299999999999983</v>
      </c>
      <c r="G14" s="62">
        <v>57.6</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7"/>
  <sheetViews>
    <sheetView tabSelected="1" workbookViewId="0"/>
  </sheetViews>
  <sheetFormatPr baseColWidth="10" defaultColWidth="8.83203125" defaultRowHeight="15" x14ac:dyDescent="0.2"/>
  <cols>
    <col min="1" max="3" width="14" customWidth="1"/>
    <col min="4" max="4" width="20" customWidth="1"/>
    <col min="5" max="5" width="21" customWidth="1"/>
    <col min="6" max="7" width="17" customWidth="1"/>
  </cols>
  <sheetData>
    <row r="1" spans="1:7" x14ac:dyDescent="0.2">
      <c r="A1" s="71" t="s">
        <v>201</v>
      </c>
      <c r="B1" s="71" t="s">
        <v>204</v>
      </c>
      <c r="C1" s="71" t="s">
        <v>453</v>
      </c>
      <c r="D1" s="71" t="s">
        <v>454</v>
      </c>
      <c r="E1" s="71" t="s">
        <v>455</v>
      </c>
      <c r="F1" s="71" t="s">
        <v>456</v>
      </c>
      <c r="G1" s="71" t="s">
        <v>457</v>
      </c>
    </row>
    <row r="2" spans="1:7" x14ac:dyDescent="0.2">
      <c r="A2">
        <v>1726729433611</v>
      </c>
      <c r="B2">
        <v>1</v>
      </c>
      <c r="C2" t="s">
        <v>195</v>
      </c>
      <c r="D2">
        <v>12.545253600000001</v>
      </c>
      <c r="E2">
        <v>15.108262399999999</v>
      </c>
      <c r="F2">
        <v>20.43010752688172</v>
      </c>
      <c r="G2">
        <v>2.77</v>
      </c>
    </row>
    <row r="3" spans="1:7" x14ac:dyDescent="0.2">
      <c r="A3">
        <v>1738229409347</v>
      </c>
      <c r="B3">
        <v>4</v>
      </c>
      <c r="C3" t="s">
        <v>197</v>
      </c>
      <c r="D3">
        <v>18.6155376</v>
      </c>
      <c r="E3">
        <v>20.638965599999999</v>
      </c>
      <c r="F3">
        <v>10.869565217391299</v>
      </c>
      <c r="G3">
        <v>0</v>
      </c>
    </row>
    <row r="4" spans="1:7" x14ac:dyDescent="0.2">
      <c r="A4">
        <v>1738231639812</v>
      </c>
      <c r="B4">
        <v>4</v>
      </c>
      <c r="C4" t="s">
        <v>197</v>
      </c>
      <c r="D4">
        <v>14.5686816</v>
      </c>
      <c r="E4">
        <v>16.187424</v>
      </c>
      <c r="F4">
        <v>11.11111111111113</v>
      </c>
      <c r="G4">
        <v>0</v>
      </c>
    </row>
    <row r="5" spans="1:7" x14ac:dyDescent="0.2">
      <c r="A5">
        <v>1747200300435</v>
      </c>
      <c r="B5">
        <v>1</v>
      </c>
      <c r="C5" t="s">
        <v>195</v>
      </c>
      <c r="D5">
        <v>9.3077687999999981</v>
      </c>
      <c r="E5">
        <v>13.7593104</v>
      </c>
      <c r="F5">
        <v>47.826086956521777</v>
      </c>
      <c r="G5">
        <v>41.45</v>
      </c>
    </row>
    <row r="6" spans="1:7" x14ac:dyDescent="0.2">
      <c r="A6">
        <v>1744694039008</v>
      </c>
      <c r="B6">
        <v>4</v>
      </c>
      <c r="C6" t="s">
        <v>197</v>
      </c>
      <c r="D6">
        <v>15.7827384</v>
      </c>
      <c r="E6">
        <v>16.996795200000001</v>
      </c>
      <c r="F6">
        <v>7.6923076923076801</v>
      </c>
      <c r="G6">
        <v>0</v>
      </c>
    </row>
    <row r="7" spans="1:7" x14ac:dyDescent="0.2">
      <c r="A7">
        <v>1730526661966</v>
      </c>
      <c r="B7">
        <v>1</v>
      </c>
      <c r="C7" t="s">
        <v>195</v>
      </c>
      <c r="D7">
        <v>10.386930400000001</v>
      </c>
      <c r="E7">
        <v>13.489520000000001</v>
      </c>
      <c r="F7">
        <v>29.87012987012988</v>
      </c>
      <c r="G7">
        <v>14.32</v>
      </c>
    </row>
    <row r="8" spans="1:7" x14ac:dyDescent="0.2">
      <c r="A8">
        <v>1738306257831</v>
      </c>
      <c r="B8">
        <v>4</v>
      </c>
      <c r="C8" t="s">
        <v>197</v>
      </c>
      <c r="D8">
        <v>16.592109600000001</v>
      </c>
      <c r="E8">
        <v>18.210851999999999</v>
      </c>
      <c r="F8">
        <v>9.7560975609756238</v>
      </c>
      <c r="G8">
        <v>0</v>
      </c>
    </row>
    <row r="9" spans="1:7" x14ac:dyDescent="0.2">
      <c r="A9">
        <v>1726041387616</v>
      </c>
      <c r="B9">
        <v>1</v>
      </c>
      <c r="C9" t="s">
        <v>195</v>
      </c>
      <c r="D9">
        <v>12.275463200000001</v>
      </c>
      <c r="E9">
        <v>14.0291008</v>
      </c>
      <c r="F9">
        <v>14.285714285714301</v>
      </c>
      <c r="G9">
        <v>9.09</v>
      </c>
    </row>
    <row r="10" spans="1:7" x14ac:dyDescent="0.2">
      <c r="A10">
        <v>1727151811431</v>
      </c>
      <c r="B10">
        <v>1</v>
      </c>
      <c r="C10" t="s">
        <v>195</v>
      </c>
      <c r="D10">
        <v>14.433786400000001</v>
      </c>
      <c r="E10">
        <v>18.210851999999999</v>
      </c>
      <c r="F10">
        <v>26.168224299065422</v>
      </c>
      <c r="G10">
        <v>11.73</v>
      </c>
    </row>
    <row r="11" spans="1:7" x14ac:dyDescent="0.2">
      <c r="A11">
        <v>1744620291141</v>
      </c>
      <c r="B11">
        <v>13</v>
      </c>
      <c r="C11" t="s">
        <v>198</v>
      </c>
      <c r="D11">
        <v>16.187424</v>
      </c>
      <c r="E11">
        <v>28.327991999999991</v>
      </c>
      <c r="F11">
        <v>74.999999999999972</v>
      </c>
      <c r="G11">
        <v>6.21</v>
      </c>
    </row>
    <row r="12" spans="1:7" x14ac:dyDescent="0.2">
      <c r="A12">
        <v>1743844344980</v>
      </c>
      <c r="B12">
        <v>1</v>
      </c>
      <c r="C12" t="s">
        <v>195</v>
      </c>
      <c r="D12">
        <v>9.7124543999999986</v>
      </c>
      <c r="E12">
        <v>13.219729600000001</v>
      </c>
      <c r="F12">
        <v>36.111111111111121</v>
      </c>
      <c r="G12">
        <v>5.36</v>
      </c>
    </row>
    <row r="13" spans="1:7" x14ac:dyDescent="0.2">
      <c r="A13">
        <v>1733721019866</v>
      </c>
      <c r="B13">
        <v>2</v>
      </c>
      <c r="C13" t="s">
        <v>196</v>
      </c>
      <c r="D13">
        <v>17.806166399999999</v>
      </c>
      <c r="E13">
        <v>24.281136</v>
      </c>
      <c r="F13">
        <v>36.363636363636353</v>
      </c>
      <c r="G13">
        <v>15.94</v>
      </c>
    </row>
    <row r="14" spans="1:7" x14ac:dyDescent="0.2">
      <c r="A14">
        <v>1748500587905</v>
      </c>
      <c r="B14">
        <v>13</v>
      </c>
      <c r="C14" t="s">
        <v>198</v>
      </c>
      <c r="D14">
        <v>19.829594400000001</v>
      </c>
      <c r="E14">
        <v>24.281136</v>
      </c>
      <c r="F14">
        <v>22.448979591836729</v>
      </c>
      <c r="G14">
        <v>10.56</v>
      </c>
    </row>
    <row r="15" spans="1:7" x14ac:dyDescent="0.2">
      <c r="A15">
        <v>1715928719043</v>
      </c>
      <c r="B15">
        <v>2</v>
      </c>
      <c r="C15" t="s">
        <v>196</v>
      </c>
      <c r="D15">
        <v>11.331196800000001</v>
      </c>
      <c r="E15">
        <v>13.3546248</v>
      </c>
      <c r="F15">
        <v>17.857142857142851</v>
      </c>
      <c r="G15">
        <v>11.58</v>
      </c>
    </row>
    <row r="16" spans="1:7" x14ac:dyDescent="0.2">
      <c r="A16">
        <v>1727518386307</v>
      </c>
      <c r="B16">
        <v>1</v>
      </c>
      <c r="C16" t="s">
        <v>195</v>
      </c>
      <c r="D16">
        <v>10.5218256</v>
      </c>
      <c r="E16">
        <v>12.949939199999999</v>
      </c>
      <c r="F16">
        <v>23.07692307692308</v>
      </c>
      <c r="G16">
        <v>12.51</v>
      </c>
    </row>
    <row r="17" spans="1:7" x14ac:dyDescent="0.2">
      <c r="A17">
        <v>1729140634986</v>
      </c>
      <c r="B17">
        <v>1</v>
      </c>
      <c r="C17" t="s">
        <v>195</v>
      </c>
      <c r="D17">
        <v>11.8707776</v>
      </c>
      <c r="E17">
        <v>14.2988912</v>
      </c>
      <c r="F17">
        <v>20.45454545454545</v>
      </c>
      <c r="G17">
        <v>4.4400000000000004</v>
      </c>
    </row>
    <row r="18" spans="1:7" x14ac:dyDescent="0.2">
      <c r="A18">
        <v>1736148507326</v>
      </c>
      <c r="B18">
        <v>1</v>
      </c>
      <c r="C18" t="s">
        <v>195</v>
      </c>
      <c r="D18">
        <v>11.466092</v>
      </c>
      <c r="E18">
        <v>12.545253600000001</v>
      </c>
      <c r="F18">
        <v>9.4117647058823621</v>
      </c>
      <c r="G18">
        <v>7.63</v>
      </c>
    </row>
    <row r="19" spans="1:7" x14ac:dyDescent="0.2">
      <c r="A19">
        <v>2126</v>
      </c>
      <c r="B19">
        <v>1</v>
      </c>
      <c r="C19" t="s">
        <v>195</v>
      </c>
      <c r="D19">
        <v>11.735882399999999</v>
      </c>
      <c r="E19">
        <v>12.545253600000001</v>
      </c>
      <c r="F19">
        <v>6.8965517241379422</v>
      </c>
      <c r="G19">
        <v>9.44</v>
      </c>
    </row>
    <row r="20" spans="1:7" x14ac:dyDescent="0.2">
      <c r="A20">
        <v>1725600601253</v>
      </c>
      <c r="B20">
        <v>1</v>
      </c>
      <c r="C20" t="s">
        <v>195</v>
      </c>
      <c r="D20">
        <v>12.815044</v>
      </c>
      <c r="E20">
        <v>15.108262399999999</v>
      </c>
      <c r="F20">
        <v>17.894736842105271</v>
      </c>
      <c r="G20">
        <v>4.8099999999999996</v>
      </c>
    </row>
    <row r="21" spans="1:7" x14ac:dyDescent="0.2">
      <c r="A21">
        <v>1750057272690</v>
      </c>
      <c r="B21">
        <v>4</v>
      </c>
      <c r="C21" t="s">
        <v>197</v>
      </c>
      <c r="D21">
        <v>15.7827384</v>
      </c>
      <c r="E21">
        <v>17.401480800000002</v>
      </c>
      <c r="F21">
        <v>10.25641025641025</v>
      </c>
      <c r="G21">
        <v>8.36</v>
      </c>
    </row>
    <row r="22" spans="1:7" x14ac:dyDescent="0.2">
      <c r="A22">
        <v>1730182354607</v>
      </c>
      <c r="B22">
        <v>1</v>
      </c>
      <c r="C22" t="s">
        <v>195</v>
      </c>
      <c r="D22">
        <v>9.3077687999999981</v>
      </c>
      <c r="E22">
        <v>11.735882399999999</v>
      </c>
      <c r="F22">
        <v>26.086956521739129</v>
      </c>
      <c r="G22">
        <v>8.74</v>
      </c>
    </row>
    <row r="23" spans="1:7" x14ac:dyDescent="0.2">
      <c r="A23">
        <v>1743486604944</v>
      </c>
      <c r="B23">
        <v>4</v>
      </c>
      <c r="C23" t="s">
        <v>197</v>
      </c>
      <c r="D23">
        <v>14.9733672</v>
      </c>
      <c r="E23">
        <v>16.996795200000001</v>
      </c>
      <c r="F23">
        <v>13.51351351351351</v>
      </c>
      <c r="G23">
        <v>12.07</v>
      </c>
    </row>
    <row r="24" spans="1:7" x14ac:dyDescent="0.2">
      <c r="A24">
        <v>1738129011868</v>
      </c>
      <c r="B24">
        <v>4</v>
      </c>
      <c r="C24" t="s">
        <v>197</v>
      </c>
      <c r="D24">
        <v>13.7593104</v>
      </c>
      <c r="E24">
        <v>17.401480800000002</v>
      </c>
      <c r="F24">
        <v>26.470588235294102</v>
      </c>
      <c r="G24">
        <v>11.76</v>
      </c>
    </row>
    <row r="25" spans="1:7" x14ac:dyDescent="0.2">
      <c r="A25">
        <v>1725951396481</v>
      </c>
      <c r="B25">
        <v>1</v>
      </c>
      <c r="C25" t="s">
        <v>195</v>
      </c>
      <c r="D25">
        <v>12.4103584</v>
      </c>
      <c r="E25">
        <v>14.163995999999999</v>
      </c>
      <c r="F25">
        <v>14.13043478260871</v>
      </c>
      <c r="G25">
        <v>11.49</v>
      </c>
    </row>
    <row r="26" spans="1:7" x14ac:dyDescent="0.2">
      <c r="A26">
        <v>1714709737320</v>
      </c>
      <c r="B26">
        <v>2</v>
      </c>
      <c r="C26" t="s">
        <v>196</v>
      </c>
      <c r="D26">
        <v>8.9030831999999993</v>
      </c>
      <c r="E26">
        <v>11.331196800000001</v>
      </c>
      <c r="F26">
        <v>27.272727272727291</v>
      </c>
      <c r="G26">
        <v>7.8</v>
      </c>
    </row>
    <row r="27" spans="1:7" x14ac:dyDescent="0.2">
      <c r="A27">
        <v>1744016112133</v>
      </c>
      <c r="B27">
        <v>4</v>
      </c>
      <c r="C27" t="s">
        <v>197</v>
      </c>
      <c r="D27">
        <v>14.163995999999999</v>
      </c>
      <c r="E27">
        <v>16.996795200000001</v>
      </c>
      <c r="F27">
        <v>20</v>
      </c>
      <c r="G27">
        <v>0</v>
      </c>
    </row>
    <row r="28" spans="1:7" x14ac:dyDescent="0.2">
      <c r="A28">
        <v>2625</v>
      </c>
      <c r="B28">
        <v>1</v>
      </c>
      <c r="C28" t="s">
        <v>195</v>
      </c>
      <c r="D28">
        <v>11.735882399999999</v>
      </c>
      <c r="E28">
        <v>13.894205599999999</v>
      </c>
      <c r="F28">
        <v>18.390804597701148</v>
      </c>
      <c r="G28">
        <v>18.920000000000002</v>
      </c>
    </row>
    <row r="29" spans="1:7" x14ac:dyDescent="0.2">
      <c r="A29">
        <v>1746455992733</v>
      </c>
      <c r="B29">
        <v>4</v>
      </c>
      <c r="C29" t="s">
        <v>197</v>
      </c>
      <c r="D29">
        <v>12.140568</v>
      </c>
      <c r="E29">
        <v>16.187424</v>
      </c>
      <c r="F29">
        <v>33.333333333333357</v>
      </c>
      <c r="G29">
        <v>0</v>
      </c>
    </row>
    <row r="30" spans="1:7" x14ac:dyDescent="0.2">
      <c r="A30">
        <v>1745481111010</v>
      </c>
      <c r="B30">
        <v>13</v>
      </c>
      <c r="C30" t="s">
        <v>198</v>
      </c>
      <c r="D30">
        <v>13.7593104</v>
      </c>
      <c r="E30">
        <v>21.4483368</v>
      </c>
      <c r="F30">
        <v>55.882352941176457</v>
      </c>
      <c r="G30">
        <v>15.94</v>
      </c>
    </row>
    <row r="31" spans="1:7" x14ac:dyDescent="0.2">
      <c r="A31">
        <v>1745495962758</v>
      </c>
      <c r="B31">
        <v>4</v>
      </c>
      <c r="C31" t="s">
        <v>197</v>
      </c>
      <c r="D31">
        <v>16.187424</v>
      </c>
      <c r="E31">
        <v>21.043651199999999</v>
      </c>
      <c r="F31">
        <v>29.999999999999989</v>
      </c>
      <c r="G31">
        <v>10.56</v>
      </c>
    </row>
    <row r="32" spans="1:7" x14ac:dyDescent="0.2">
      <c r="A32">
        <v>1727419104712</v>
      </c>
      <c r="B32">
        <v>1</v>
      </c>
      <c r="C32" t="s">
        <v>195</v>
      </c>
      <c r="D32">
        <v>15.7827384</v>
      </c>
      <c r="E32">
        <v>21.583231999999999</v>
      </c>
      <c r="F32">
        <v>36.752136752136757</v>
      </c>
      <c r="G32">
        <v>11.58</v>
      </c>
    </row>
    <row r="33" spans="1:7" x14ac:dyDescent="0.2">
      <c r="A33">
        <v>1727518510122</v>
      </c>
      <c r="B33">
        <v>1</v>
      </c>
      <c r="C33" t="s">
        <v>195</v>
      </c>
      <c r="D33">
        <v>11.735882399999999</v>
      </c>
      <c r="E33">
        <v>17.536376000000001</v>
      </c>
      <c r="F33">
        <v>49.425287356321867</v>
      </c>
      <c r="G33">
        <v>12.51</v>
      </c>
    </row>
    <row r="34" spans="1:7" x14ac:dyDescent="0.2">
      <c r="A34">
        <v>1743575791892</v>
      </c>
      <c r="B34">
        <v>4</v>
      </c>
      <c r="C34" t="s">
        <v>197</v>
      </c>
      <c r="D34">
        <v>14.5686816</v>
      </c>
      <c r="E34">
        <v>16.592109600000001</v>
      </c>
      <c r="F34">
        <v>13.88888888888888</v>
      </c>
      <c r="G34">
        <v>4.4400000000000004</v>
      </c>
    </row>
    <row r="35" spans="1:7" x14ac:dyDescent="0.2">
      <c r="A35">
        <v>1744868280333</v>
      </c>
      <c r="B35">
        <v>4</v>
      </c>
      <c r="C35" t="s">
        <v>197</v>
      </c>
      <c r="D35">
        <v>15.378052800000001</v>
      </c>
      <c r="E35">
        <v>16.187424</v>
      </c>
      <c r="F35">
        <v>5.2631578947368496</v>
      </c>
      <c r="G35">
        <v>7.63</v>
      </c>
    </row>
    <row r="36" spans="1:7" x14ac:dyDescent="0.2">
      <c r="A36">
        <v>1728631791144</v>
      </c>
      <c r="B36">
        <v>1</v>
      </c>
      <c r="C36" t="s">
        <v>195</v>
      </c>
      <c r="D36">
        <v>11.466092</v>
      </c>
      <c r="E36">
        <v>14.2988912</v>
      </c>
      <c r="F36">
        <v>24.705882352941181</v>
      </c>
      <c r="G36">
        <v>9.44</v>
      </c>
    </row>
    <row r="37" spans="1:7" x14ac:dyDescent="0.2">
      <c r="A37">
        <v>1744782908107</v>
      </c>
      <c r="B37">
        <v>4</v>
      </c>
      <c r="C37" t="s">
        <v>197</v>
      </c>
      <c r="D37">
        <v>14.5686816</v>
      </c>
      <c r="E37">
        <v>16.592109600000001</v>
      </c>
      <c r="F37">
        <v>13.88888888888888</v>
      </c>
      <c r="G37">
        <v>4.8099999999999996</v>
      </c>
    </row>
    <row r="38" spans="1:7" x14ac:dyDescent="0.2">
      <c r="A38">
        <v>1746189360599</v>
      </c>
      <c r="B38">
        <v>4</v>
      </c>
      <c r="C38" t="s">
        <v>197</v>
      </c>
      <c r="D38">
        <v>15.7827384</v>
      </c>
      <c r="E38">
        <v>17.806166399999999</v>
      </c>
      <c r="F38">
        <v>12.820512820512819</v>
      </c>
      <c r="G38">
        <v>8.36</v>
      </c>
    </row>
    <row r="39" spans="1:7" x14ac:dyDescent="0.2">
      <c r="A39">
        <v>1745396907192</v>
      </c>
      <c r="B39">
        <v>4</v>
      </c>
      <c r="C39" t="s">
        <v>197</v>
      </c>
      <c r="D39">
        <v>14.9733672</v>
      </c>
      <c r="E39">
        <v>16.187424</v>
      </c>
      <c r="F39">
        <v>8.1081081081081194</v>
      </c>
      <c r="G39">
        <v>8.74</v>
      </c>
    </row>
    <row r="40" spans="1:7" x14ac:dyDescent="0.2">
      <c r="A40">
        <v>1748585169654</v>
      </c>
      <c r="B40">
        <v>2</v>
      </c>
      <c r="C40" t="s">
        <v>196</v>
      </c>
      <c r="D40">
        <v>14.163995999999999</v>
      </c>
      <c r="E40">
        <v>14.9733672</v>
      </c>
      <c r="F40">
        <v>5.7142857142857233</v>
      </c>
      <c r="G40">
        <v>12.07</v>
      </c>
    </row>
    <row r="41" spans="1:7" x14ac:dyDescent="0.2">
      <c r="A41">
        <v>1748314903144</v>
      </c>
      <c r="B41">
        <v>2</v>
      </c>
      <c r="C41" t="s">
        <v>196</v>
      </c>
      <c r="D41">
        <v>8.093712</v>
      </c>
      <c r="E41">
        <v>15.7827384</v>
      </c>
      <c r="F41">
        <v>95</v>
      </c>
      <c r="G41">
        <v>11.76</v>
      </c>
    </row>
    <row r="42" spans="1:7" x14ac:dyDescent="0.2">
      <c r="A42">
        <v>995</v>
      </c>
      <c r="B42">
        <v>1</v>
      </c>
      <c r="C42" t="s">
        <v>195</v>
      </c>
      <c r="D42">
        <v>13.6244152</v>
      </c>
      <c r="E42">
        <v>19.829594400000001</v>
      </c>
      <c r="F42">
        <v>45.544554455445528</v>
      </c>
      <c r="G42">
        <v>11.49</v>
      </c>
    </row>
    <row r="43" spans="1:7" x14ac:dyDescent="0.2">
      <c r="A43">
        <v>1749790371099</v>
      </c>
      <c r="B43">
        <v>2</v>
      </c>
      <c r="C43" t="s">
        <v>196</v>
      </c>
      <c r="D43">
        <v>10.9265112</v>
      </c>
      <c r="E43">
        <v>14.163995999999999</v>
      </c>
      <c r="F43">
        <v>29.629629629629601</v>
      </c>
      <c r="G43">
        <v>7.8</v>
      </c>
    </row>
    <row r="44" spans="1:7" x14ac:dyDescent="0.2">
      <c r="A44">
        <v>1748846548921</v>
      </c>
      <c r="B44">
        <v>2</v>
      </c>
      <c r="C44" t="s">
        <v>196</v>
      </c>
      <c r="D44">
        <v>11.735882399999999</v>
      </c>
      <c r="E44">
        <v>15.378052800000001</v>
      </c>
      <c r="F44">
        <v>31.034482758620712</v>
      </c>
      <c r="G44">
        <v>2.35</v>
      </c>
    </row>
    <row r="45" spans="1:7" x14ac:dyDescent="0.2">
      <c r="A45">
        <v>1749192812519</v>
      </c>
      <c r="B45">
        <v>2</v>
      </c>
      <c r="C45" t="s">
        <v>196</v>
      </c>
      <c r="D45">
        <v>14.163995999999999</v>
      </c>
      <c r="E45">
        <v>14.5686816</v>
      </c>
      <c r="F45">
        <v>2.8571428571428621</v>
      </c>
      <c r="G45">
        <v>1.03</v>
      </c>
    </row>
    <row r="46" spans="1:7" x14ac:dyDescent="0.2">
      <c r="A46">
        <v>1748670377873</v>
      </c>
      <c r="B46">
        <v>2</v>
      </c>
      <c r="C46" t="s">
        <v>196</v>
      </c>
      <c r="D46">
        <v>12.140568</v>
      </c>
      <c r="E46">
        <v>19.424908800000001</v>
      </c>
      <c r="F46">
        <v>60</v>
      </c>
      <c r="G46">
        <v>2</v>
      </c>
    </row>
    <row r="47" spans="1:7" x14ac:dyDescent="0.2">
      <c r="A47">
        <v>1747203969407</v>
      </c>
      <c r="B47">
        <v>14</v>
      </c>
      <c r="C47" t="s">
        <v>199</v>
      </c>
      <c r="D47">
        <v>17.266585599999999</v>
      </c>
      <c r="E47">
        <v>29.9467344</v>
      </c>
      <c r="F47">
        <v>73.437500000000014</v>
      </c>
      <c r="G47">
        <v>10.56</v>
      </c>
    </row>
    <row r="48" spans="1:7" x14ac:dyDescent="0.2">
      <c r="A48">
        <v>998</v>
      </c>
      <c r="B48">
        <v>1</v>
      </c>
      <c r="C48" t="s">
        <v>195</v>
      </c>
      <c r="D48">
        <v>11.6009872</v>
      </c>
      <c r="E48">
        <v>14.838471999999999</v>
      </c>
      <c r="F48">
        <v>27.906976744186061</v>
      </c>
      <c r="G48">
        <v>23.79</v>
      </c>
    </row>
    <row r="49" spans="1:7" x14ac:dyDescent="0.2">
      <c r="A49">
        <v>1917</v>
      </c>
      <c r="B49">
        <v>1</v>
      </c>
      <c r="C49" t="s">
        <v>195</v>
      </c>
      <c r="D49">
        <v>11.466092</v>
      </c>
      <c r="E49">
        <v>14.2988912</v>
      </c>
      <c r="F49">
        <v>24.705882352941181</v>
      </c>
      <c r="G49">
        <v>24.39</v>
      </c>
    </row>
    <row r="50" spans="1:7" x14ac:dyDescent="0.2">
      <c r="A50">
        <v>1710562995030</v>
      </c>
      <c r="B50">
        <v>1</v>
      </c>
      <c r="C50" t="s">
        <v>195</v>
      </c>
      <c r="D50">
        <v>8.0937119999999982</v>
      </c>
      <c r="E50">
        <v>11.735882399999999</v>
      </c>
      <c r="F50">
        <v>45</v>
      </c>
      <c r="G50">
        <v>12.43</v>
      </c>
    </row>
    <row r="51" spans="1:7" x14ac:dyDescent="0.2">
      <c r="A51">
        <v>1711947865383</v>
      </c>
      <c r="B51">
        <v>1</v>
      </c>
      <c r="C51" t="s">
        <v>195</v>
      </c>
      <c r="D51">
        <v>12.6801488</v>
      </c>
      <c r="E51">
        <v>15.512948</v>
      </c>
      <c r="F51">
        <v>22.340425531914899</v>
      </c>
      <c r="G51">
        <v>14.35</v>
      </c>
    </row>
    <row r="52" spans="1:7" x14ac:dyDescent="0.2">
      <c r="A52">
        <v>1746880214971</v>
      </c>
      <c r="B52">
        <v>13</v>
      </c>
      <c r="C52" t="s">
        <v>198</v>
      </c>
      <c r="D52">
        <v>19.0202232</v>
      </c>
      <c r="E52">
        <v>22.257708000000001</v>
      </c>
      <c r="F52">
        <v>17.021276595744709</v>
      </c>
      <c r="G52">
        <v>11.58</v>
      </c>
    </row>
    <row r="53" spans="1:7" x14ac:dyDescent="0.2">
      <c r="A53">
        <v>1748347278714</v>
      </c>
      <c r="B53">
        <v>2</v>
      </c>
      <c r="C53" t="s">
        <v>196</v>
      </c>
      <c r="D53">
        <v>14.163995999999999</v>
      </c>
      <c r="E53">
        <v>10.5218256</v>
      </c>
      <c r="F53">
        <v>-25.714285714285701</v>
      </c>
      <c r="G53">
        <v>6.15</v>
      </c>
    </row>
    <row r="54" spans="1:7" x14ac:dyDescent="0.2">
      <c r="A54">
        <v>1744618146912</v>
      </c>
      <c r="B54">
        <v>13</v>
      </c>
      <c r="C54" t="s">
        <v>198</v>
      </c>
      <c r="D54">
        <v>12.949939199999999</v>
      </c>
      <c r="E54">
        <v>16.592109600000001</v>
      </c>
      <c r="F54">
        <v>28.124999999999979</v>
      </c>
      <c r="G54">
        <v>12.51</v>
      </c>
    </row>
    <row r="55" spans="1:7" x14ac:dyDescent="0.2">
      <c r="A55">
        <v>1748849840379</v>
      </c>
      <c r="B55">
        <v>2</v>
      </c>
      <c r="C55" t="s">
        <v>196</v>
      </c>
      <c r="D55">
        <v>9.3077687999999998</v>
      </c>
      <c r="E55">
        <v>12.545253600000001</v>
      </c>
      <c r="F55">
        <v>34.782608695652158</v>
      </c>
      <c r="G55">
        <v>6.29</v>
      </c>
    </row>
    <row r="56" spans="1:7" x14ac:dyDescent="0.2">
      <c r="A56">
        <v>1730695706843</v>
      </c>
      <c r="B56">
        <v>1</v>
      </c>
      <c r="C56" t="s">
        <v>195</v>
      </c>
      <c r="D56">
        <v>10.9265112</v>
      </c>
      <c r="E56">
        <v>13.7593104</v>
      </c>
      <c r="F56">
        <v>25.92592592592592</v>
      </c>
      <c r="G56">
        <v>4.93</v>
      </c>
    </row>
    <row r="57" spans="1:7" x14ac:dyDescent="0.2">
      <c r="A57">
        <v>1748318530770</v>
      </c>
      <c r="B57">
        <v>2</v>
      </c>
      <c r="C57" t="s">
        <v>196</v>
      </c>
      <c r="D57">
        <v>10.9265112</v>
      </c>
      <c r="E57">
        <v>16.592109600000001</v>
      </c>
      <c r="F57">
        <v>51.851851851851833</v>
      </c>
      <c r="G57">
        <v>10.199999999999999</v>
      </c>
    </row>
    <row r="58" spans="1:7" x14ac:dyDescent="0.2">
      <c r="A58">
        <v>1727779013296</v>
      </c>
      <c r="B58">
        <v>1</v>
      </c>
      <c r="C58" t="s">
        <v>195</v>
      </c>
      <c r="D58">
        <v>9.3077687999999981</v>
      </c>
      <c r="E58">
        <v>11.331196800000001</v>
      </c>
      <c r="F58">
        <v>21.739130434782599</v>
      </c>
      <c r="G58">
        <v>8.6999999999999993</v>
      </c>
    </row>
    <row r="59" spans="1:7" x14ac:dyDescent="0.2">
      <c r="A59">
        <v>1747980119989</v>
      </c>
      <c r="B59">
        <v>1</v>
      </c>
      <c r="C59" t="s">
        <v>195</v>
      </c>
      <c r="D59">
        <v>12.275463200000001</v>
      </c>
      <c r="E59">
        <v>15.7827384</v>
      </c>
      <c r="F59">
        <v>28.571428571428569</v>
      </c>
      <c r="G59">
        <v>56.18</v>
      </c>
    </row>
    <row r="60" spans="1:7" x14ac:dyDescent="0.2">
      <c r="A60">
        <v>997</v>
      </c>
      <c r="B60">
        <v>1</v>
      </c>
      <c r="C60" t="s">
        <v>195</v>
      </c>
      <c r="D60">
        <v>12.815044</v>
      </c>
      <c r="E60">
        <v>16.861899999999999</v>
      </c>
      <c r="F60">
        <v>31.578947368421051</v>
      </c>
      <c r="G60">
        <v>21.29</v>
      </c>
    </row>
    <row r="61" spans="1:7" x14ac:dyDescent="0.2">
      <c r="A61">
        <v>1748342788464</v>
      </c>
      <c r="B61">
        <v>2</v>
      </c>
      <c r="C61" t="s">
        <v>196</v>
      </c>
      <c r="D61">
        <v>11.331196800000001</v>
      </c>
      <c r="E61">
        <v>14.163995999999999</v>
      </c>
      <c r="F61">
        <v>24.999999999999972</v>
      </c>
      <c r="G61">
        <v>2.4</v>
      </c>
    </row>
    <row r="62" spans="1:7" x14ac:dyDescent="0.2">
      <c r="A62">
        <v>1725268189751</v>
      </c>
      <c r="B62">
        <v>1</v>
      </c>
      <c r="C62" t="s">
        <v>195</v>
      </c>
      <c r="D62">
        <v>12.6801488</v>
      </c>
      <c r="E62">
        <v>15.512948</v>
      </c>
      <c r="F62">
        <v>22.340425531914899</v>
      </c>
      <c r="G62">
        <v>22.96</v>
      </c>
    </row>
    <row r="63" spans="1:7" x14ac:dyDescent="0.2">
      <c r="A63">
        <v>1748434852826</v>
      </c>
      <c r="B63">
        <v>2</v>
      </c>
      <c r="C63" t="s">
        <v>196</v>
      </c>
      <c r="D63">
        <v>12.140568</v>
      </c>
      <c r="E63">
        <v>14.163995999999999</v>
      </c>
      <c r="F63">
        <v>16.666666666666661</v>
      </c>
      <c r="G63">
        <v>4.53</v>
      </c>
    </row>
    <row r="64" spans="1:7" x14ac:dyDescent="0.2">
      <c r="A64">
        <v>1748410421216</v>
      </c>
      <c r="B64">
        <v>2</v>
      </c>
      <c r="C64" t="s">
        <v>196</v>
      </c>
      <c r="D64">
        <v>6.0702839999999991</v>
      </c>
      <c r="E64">
        <v>17.401480800000002</v>
      </c>
      <c r="F64">
        <v>186.66666666666671</v>
      </c>
      <c r="G64">
        <v>1.58</v>
      </c>
    </row>
    <row r="65" spans="1:7" x14ac:dyDescent="0.2">
      <c r="A65">
        <v>1748317441822</v>
      </c>
      <c r="B65">
        <v>2</v>
      </c>
      <c r="C65" t="s">
        <v>196</v>
      </c>
      <c r="D65">
        <v>19.424908800000001</v>
      </c>
      <c r="E65">
        <v>15.378052800000001</v>
      </c>
      <c r="F65">
        <v>-20.833333333333329</v>
      </c>
      <c r="G65">
        <v>2.44</v>
      </c>
    </row>
    <row r="66" spans="1:7" x14ac:dyDescent="0.2">
      <c r="A66">
        <v>1724486255967</v>
      </c>
      <c r="B66">
        <v>1</v>
      </c>
      <c r="C66" t="s">
        <v>195</v>
      </c>
      <c r="D66">
        <v>11.735882399999999</v>
      </c>
      <c r="E66">
        <v>13.0848344</v>
      </c>
      <c r="F66">
        <v>11.494252873563219</v>
      </c>
      <c r="G66">
        <v>14.92</v>
      </c>
    </row>
    <row r="67" spans="1:7" x14ac:dyDescent="0.2">
      <c r="A67">
        <v>1729138432786</v>
      </c>
      <c r="B67">
        <v>1</v>
      </c>
      <c r="C67" t="s">
        <v>195</v>
      </c>
      <c r="D67">
        <v>12.275463200000001</v>
      </c>
      <c r="E67">
        <v>16.187424</v>
      </c>
      <c r="F67">
        <v>31.868131868131851</v>
      </c>
      <c r="G67">
        <v>19.41</v>
      </c>
    </row>
    <row r="68" spans="1:7" x14ac:dyDescent="0.2">
      <c r="A68">
        <v>1716602739480</v>
      </c>
      <c r="B68">
        <v>2</v>
      </c>
      <c r="C68" t="s">
        <v>196</v>
      </c>
      <c r="D68">
        <v>8.093712</v>
      </c>
      <c r="E68">
        <v>11.735882399999999</v>
      </c>
      <c r="F68">
        <v>44.999999999999972</v>
      </c>
      <c r="G68">
        <v>8.51</v>
      </c>
    </row>
    <row r="69" spans="1:7" x14ac:dyDescent="0.2">
      <c r="A69">
        <v>1748333977982</v>
      </c>
      <c r="B69">
        <v>2</v>
      </c>
      <c r="C69" t="s">
        <v>196</v>
      </c>
      <c r="D69">
        <v>10.9265112</v>
      </c>
      <c r="E69">
        <v>14.163995999999999</v>
      </c>
      <c r="F69">
        <v>29.629629629629601</v>
      </c>
      <c r="G69">
        <v>16.34</v>
      </c>
    </row>
    <row r="70" spans="1:7" x14ac:dyDescent="0.2">
      <c r="A70">
        <v>1749024576851</v>
      </c>
      <c r="B70">
        <v>2</v>
      </c>
      <c r="C70" t="s">
        <v>196</v>
      </c>
      <c r="D70">
        <v>10.117139999999999</v>
      </c>
      <c r="E70">
        <v>16.592109600000001</v>
      </c>
      <c r="F70">
        <v>63.999999999999979</v>
      </c>
      <c r="G70">
        <v>2.57</v>
      </c>
    </row>
    <row r="71" spans="1:7" x14ac:dyDescent="0.2">
      <c r="A71">
        <v>1748317325987</v>
      </c>
      <c r="B71">
        <v>2</v>
      </c>
      <c r="C71" t="s">
        <v>196</v>
      </c>
      <c r="D71">
        <v>8.9030831999999993</v>
      </c>
      <c r="E71">
        <v>14.163995999999999</v>
      </c>
      <c r="F71">
        <v>59.090909090909072</v>
      </c>
      <c r="G71">
        <v>0.99</v>
      </c>
    </row>
    <row r="72" spans="1:7" x14ac:dyDescent="0.2">
      <c r="A72">
        <v>1723623089946</v>
      </c>
      <c r="B72">
        <v>1</v>
      </c>
      <c r="C72" t="s">
        <v>195</v>
      </c>
      <c r="D72">
        <v>13.894205599999999</v>
      </c>
      <c r="E72">
        <v>17.266585599999999</v>
      </c>
      <c r="F72">
        <v>24.271844660194191</v>
      </c>
      <c r="G72">
        <v>14.91</v>
      </c>
    </row>
    <row r="73" spans="1:7" x14ac:dyDescent="0.2">
      <c r="A73">
        <v>1728969151426</v>
      </c>
      <c r="B73">
        <v>1</v>
      </c>
      <c r="C73" t="s">
        <v>195</v>
      </c>
      <c r="D73">
        <v>11.8707776</v>
      </c>
      <c r="E73">
        <v>14.163995999999999</v>
      </c>
      <c r="F73">
        <v>19.318181818181841</v>
      </c>
      <c r="G73">
        <v>21.37</v>
      </c>
    </row>
    <row r="74" spans="1:7" x14ac:dyDescent="0.2">
      <c r="A74">
        <v>1710565878731</v>
      </c>
      <c r="B74">
        <v>1</v>
      </c>
      <c r="C74" t="s">
        <v>195</v>
      </c>
      <c r="D74">
        <v>10.791615999999999</v>
      </c>
      <c r="E74">
        <v>13.0848344</v>
      </c>
      <c r="F74">
        <v>21.249999999999989</v>
      </c>
      <c r="G74">
        <v>26.67</v>
      </c>
    </row>
    <row r="75" spans="1:7" x14ac:dyDescent="0.2">
      <c r="A75">
        <v>1728104318429</v>
      </c>
      <c r="B75">
        <v>1</v>
      </c>
      <c r="C75" t="s">
        <v>195</v>
      </c>
      <c r="D75">
        <v>11.061406399999999</v>
      </c>
      <c r="E75">
        <v>12.815044</v>
      </c>
      <c r="F75">
        <v>15.85365853658536</v>
      </c>
      <c r="G75">
        <v>15.43</v>
      </c>
    </row>
    <row r="76" spans="1:7" x14ac:dyDescent="0.2">
      <c r="A76">
        <v>1729140118111</v>
      </c>
      <c r="B76">
        <v>1</v>
      </c>
      <c r="C76" t="s">
        <v>195</v>
      </c>
      <c r="D76">
        <v>12.140568</v>
      </c>
      <c r="E76">
        <v>16.457214400000002</v>
      </c>
      <c r="F76">
        <v>35.555555555555557</v>
      </c>
      <c r="G76">
        <v>19.52</v>
      </c>
    </row>
    <row r="77" spans="1:7" x14ac:dyDescent="0.2">
      <c r="A77">
        <v>1749807897941</v>
      </c>
      <c r="B77">
        <v>2</v>
      </c>
      <c r="C77" t="s">
        <v>196</v>
      </c>
      <c r="D77">
        <v>10.5218256</v>
      </c>
      <c r="E77">
        <v>11.735882399999999</v>
      </c>
      <c r="F77">
        <v>11.538461538461521</v>
      </c>
      <c r="G77">
        <v>16.98</v>
      </c>
    </row>
    <row r="78" spans="1:7" x14ac:dyDescent="0.2">
      <c r="A78">
        <v>1729751376020</v>
      </c>
      <c r="B78">
        <v>1</v>
      </c>
      <c r="C78" t="s">
        <v>195</v>
      </c>
      <c r="D78">
        <v>10.5218256</v>
      </c>
      <c r="E78">
        <v>14.163995999999999</v>
      </c>
      <c r="F78">
        <v>34.615384615384627</v>
      </c>
      <c r="G78">
        <v>9.1999999999999993</v>
      </c>
    </row>
    <row r="79" spans="1:7" x14ac:dyDescent="0.2">
      <c r="A79">
        <v>1724483073285</v>
      </c>
      <c r="B79">
        <v>1</v>
      </c>
      <c r="C79" t="s">
        <v>195</v>
      </c>
      <c r="D79">
        <v>15.7827384</v>
      </c>
      <c r="E79">
        <v>18.6155376</v>
      </c>
      <c r="F79">
        <v>17.948717948717938</v>
      </c>
      <c r="G79">
        <v>23.54</v>
      </c>
    </row>
    <row r="80" spans="1:7" x14ac:dyDescent="0.2">
      <c r="A80">
        <v>1730096084139</v>
      </c>
      <c r="B80">
        <v>1</v>
      </c>
      <c r="C80" t="s">
        <v>195</v>
      </c>
      <c r="D80">
        <v>6.8796552000000002</v>
      </c>
      <c r="E80">
        <v>11.331196800000001</v>
      </c>
      <c r="F80">
        <v>64.705882352941131</v>
      </c>
      <c r="G80">
        <v>25.71</v>
      </c>
    </row>
    <row r="81" spans="1:7" x14ac:dyDescent="0.2">
      <c r="A81">
        <v>1727150667724</v>
      </c>
      <c r="B81">
        <v>1</v>
      </c>
      <c r="C81" t="s">
        <v>195</v>
      </c>
      <c r="D81">
        <v>13.219729600000001</v>
      </c>
      <c r="E81">
        <v>16.322319199999999</v>
      </c>
      <c r="F81">
        <v>23.469387755102041</v>
      </c>
      <c r="G81">
        <v>3.57</v>
      </c>
    </row>
    <row r="82" spans="1:7" x14ac:dyDescent="0.2">
      <c r="A82">
        <v>1725269298453</v>
      </c>
      <c r="B82">
        <v>1</v>
      </c>
      <c r="C82" t="s">
        <v>195</v>
      </c>
      <c r="D82">
        <v>13.219729600000001</v>
      </c>
      <c r="E82">
        <v>15.9176336</v>
      </c>
      <c r="F82">
        <v>20.408163265306118</v>
      </c>
      <c r="G82">
        <v>10.48</v>
      </c>
    </row>
    <row r="83" spans="1:7" x14ac:dyDescent="0.2">
      <c r="A83">
        <v>1725268948308</v>
      </c>
      <c r="B83">
        <v>1</v>
      </c>
      <c r="C83" t="s">
        <v>195</v>
      </c>
      <c r="D83">
        <v>11.6009872</v>
      </c>
      <c r="E83">
        <v>14.838471999999999</v>
      </c>
      <c r="F83">
        <v>27.906976744186061</v>
      </c>
      <c r="G83">
        <v>7.07</v>
      </c>
    </row>
    <row r="84" spans="1:7" x14ac:dyDescent="0.2">
      <c r="A84">
        <v>1729678259463</v>
      </c>
      <c r="B84">
        <v>1</v>
      </c>
      <c r="C84" t="s">
        <v>195</v>
      </c>
      <c r="D84">
        <v>11.735882399999999</v>
      </c>
      <c r="E84">
        <v>14.9733672</v>
      </c>
      <c r="F84">
        <v>27.586206896551751</v>
      </c>
      <c r="G84">
        <v>17.12</v>
      </c>
    </row>
    <row r="85" spans="1:7" x14ac:dyDescent="0.2">
      <c r="A85">
        <v>1738395919857</v>
      </c>
      <c r="B85">
        <v>4</v>
      </c>
      <c r="C85" t="s">
        <v>197</v>
      </c>
      <c r="D85">
        <v>12.949939199999999</v>
      </c>
      <c r="E85">
        <v>15.378052800000001</v>
      </c>
      <c r="F85">
        <v>18.75</v>
      </c>
      <c r="G85">
        <v>2.4</v>
      </c>
    </row>
    <row r="86" spans="1:7" x14ac:dyDescent="0.2">
      <c r="A86">
        <v>1730697549731</v>
      </c>
      <c r="B86">
        <v>1</v>
      </c>
      <c r="C86" t="s">
        <v>195</v>
      </c>
      <c r="D86">
        <v>15.512948</v>
      </c>
      <c r="E86">
        <v>17.6712712</v>
      </c>
      <c r="F86">
        <v>13.91304347826088</v>
      </c>
      <c r="G86">
        <v>2.44</v>
      </c>
    </row>
    <row r="87" spans="1:7" x14ac:dyDescent="0.2">
      <c r="A87">
        <v>1729140274171</v>
      </c>
      <c r="B87">
        <v>1</v>
      </c>
      <c r="C87" t="s">
        <v>195</v>
      </c>
      <c r="D87">
        <v>9.8473495999999994</v>
      </c>
      <c r="E87">
        <v>13.894205599999999</v>
      </c>
      <c r="F87">
        <v>41.095890410958887</v>
      </c>
      <c r="G87">
        <v>16.22</v>
      </c>
    </row>
    <row r="88" spans="1:7" x14ac:dyDescent="0.2">
      <c r="A88">
        <v>1736235344914</v>
      </c>
      <c r="B88">
        <v>1</v>
      </c>
      <c r="C88" t="s">
        <v>195</v>
      </c>
      <c r="D88">
        <v>12.545253600000001</v>
      </c>
      <c r="E88">
        <v>17.401480800000002</v>
      </c>
      <c r="F88">
        <v>38.70967741935484</v>
      </c>
      <c r="G88">
        <v>15.34</v>
      </c>
    </row>
    <row r="89" spans="1:7" x14ac:dyDescent="0.2">
      <c r="A89">
        <v>1730893139775</v>
      </c>
      <c r="B89">
        <v>1</v>
      </c>
      <c r="C89" t="s">
        <v>195</v>
      </c>
      <c r="D89">
        <v>11.6009872</v>
      </c>
      <c r="E89">
        <v>15.7827384</v>
      </c>
      <c r="F89">
        <v>36.046511627906973</v>
      </c>
      <c r="G89">
        <v>3.91</v>
      </c>
    </row>
    <row r="90" spans="1:7" x14ac:dyDescent="0.2">
      <c r="A90">
        <v>1869</v>
      </c>
      <c r="B90">
        <v>1</v>
      </c>
      <c r="C90" t="s">
        <v>195</v>
      </c>
      <c r="D90">
        <v>16.592109600000001</v>
      </c>
      <c r="E90">
        <v>19.0202232</v>
      </c>
      <c r="F90">
        <v>14.634146341463421</v>
      </c>
      <c r="G90">
        <v>17.12</v>
      </c>
    </row>
    <row r="91" spans="1:7" x14ac:dyDescent="0.2">
      <c r="A91">
        <v>1745829630705</v>
      </c>
      <c r="B91">
        <v>1</v>
      </c>
      <c r="C91" t="s">
        <v>195</v>
      </c>
      <c r="D91">
        <v>12.949939199999999</v>
      </c>
      <c r="E91">
        <v>16.187424</v>
      </c>
      <c r="F91">
        <v>24.999999999999979</v>
      </c>
      <c r="G91">
        <v>19.68</v>
      </c>
    </row>
    <row r="92" spans="1:7" x14ac:dyDescent="0.2">
      <c r="A92">
        <v>1746708391295</v>
      </c>
      <c r="B92">
        <v>2</v>
      </c>
      <c r="C92" t="s">
        <v>196</v>
      </c>
      <c r="D92">
        <v>12.545253600000001</v>
      </c>
      <c r="E92">
        <v>17.401480800000002</v>
      </c>
      <c r="F92">
        <v>38.70967741935484</v>
      </c>
      <c r="G92">
        <v>10.08</v>
      </c>
    </row>
    <row r="93" spans="1:7" x14ac:dyDescent="0.2">
      <c r="A93">
        <v>1723882752617</v>
      </c>
      <c r="B93">
        <v>1</v>
      </c>
      <c r="C93" t="s">
        <v>195</v>
      </c>
      <c r="D93">
        <v>13.7593104</v>
      </c>
      <c r="E93">
        <v>17.401480800000002</v>
      </c>
      <c r="F93">
        <v>26.470588235294102</v>
      </c>
      <c r="G93">
        <v>18.7</v>
      </c>
    </row>
    <row r="94" spans="1:7" x14ac:dyDescent="0.2">
      <c r="A94">
        <v>1745559724382</v>
      </c>
      <c r="B94">
        <v>4</v>
      </c>
      <c r="C94" t="s">
        <v>197</v>
      </c>
      <c r="D94">
        <v>14.9733672</v>
      </c>
      <c r="E94">
        <v>16.996795200000001</v>
      </c>
      <c r="F94">
        <v>13.51351351351351</v>
      </c>
      <c r="G94">
        <v>0</v>
      </c>
    </row>
    <row r="95" spans="1:7" x14ac:dyDescent="0.2">
      <c r="A95">
        <v>1729138312697</v>
      </c>
      <c r="B95">
        <v>1</v>
      </c>
      <c r="C95" t="s">
        <v>195</v>
      </c>
      <c r="D95">
        <v>12.275463200000001</v>
      </c>
      <c r="E95">
        <v>15.7827384</v>
      </c>
      <c r="F95">
        <v>28.571428571428569</v>
      </c>
      <c r="G95">
        <v>19.87</v>
      </c>
    </row>
    <row r="96" spans="1:7" x14ac:dyDescent="0.2">
      <c r="A96">
        <v>1745828642300</v>
      </c>
      <c r="B96">
        <v>1</v>
      </c>
      <c r="C96" t="s">
        <v>195</v>
      </c>
      <c r="D96">
        <v>15.378052800000001</v>
      </c>
      <c r="E96">
        <v>16.592109600000001</v>
      </c>
      <c r="F96">
        <v>7.8947368421052637</v>
      </c>
      <c r="G96">
        <v>18.77</v>
      </c>
    </row>
    <row r="97" spans="1:7" x14ac:dyDescent="0.2">
      <c r="A97">
        <v>1745921111183</v>
      </c>
      <c r="B97">
        <v>1</v>
      </c>
      <c r="C97" t="s">
        <v>195</v>
      </c>
      <c r="D97">
        <v>11.061406399999999</v>
      </c>
      <c r="E97">
        <v>14.838471999999999</v>
      </c>
      <c r="F97">
        <v>34.146341463414643</v>
      </c>
      <c r="G97">
        <v>21.86</v>
      </c>
    </row>
    <row r="98" spans="1:7" x14ac:dyDescent="0.2">
      <c r="A98">
        <v>1746422874580</v>
      </c>
      <c r="B98">
        <v>4</v>
      </c>
      <c r="C98" t="s">
        <v>197</v>
      </c>
      <c r="D98">
        <v>15.378052800000001</v>
      </c>
      <c r="E98">
        <v>16.996795200000001</v>
      </c>
      <c r="F98">
        <v>10.52631578947368</v>
      </c>
      <c r="G98">
        <v>0</v>
      </c>
    </row>
    <row r="99" spans="1:7" x14ac:dyDescent="0.2">
      <c r="A99">
        <v>1737790868899</v>
      </c>
      <c r="B99">
        <v>4</v>
      </c>
      <c r="C99" t="s">
        <v>197</v>
      </c>
      <c r="D99">
        <v>14.5686816</v>
      </c>
      <c r="E99">
        <v>16.187424</v>
      </c>
      <c r="F99">
        <v>11.11111111111113</v>
      </c>
      <c r="G99">
        <v>0</v>
      </c>
    </row>
    <row r="100" spans="1:7" x14ac:dyDescent="0.2">
      <c r="A100">
        <v>1726729061453</v>
      </c>
      <c r="B100">
        <v>1</v>
      </c>
      <c r="C100" t="s">
        <v>195</v>
      </c>
      <c r="D100">
        <v>13.219729600000001</v>
      </c>
      <c r="E100">
        <v>16.322319199999999</v>
      </c>
      <c r="F100">
        <v>23.469387755102041</v>
      </c>
      <c r="G100">
        <v>23.66</v>
      </c>
    </row>
    <row r="101" spans="1:7" x14ac:dyDescent="0.2">
      <c r="A101">
        <v>1726729012955</v>
      </c>
      <c r="B101">
        <v>1</v>
      </c>
      <c r="C101" t="s">
        <v>195</v>
      </c>
      <c r="D101">
        <v>12.949939199999999</v>
      </c>
      <c r="E101">
        <v>16.592109600000001</v>
      </c>
      <c r="F101">
        <v>28.124999999999979</v>
      </c>
      <c r="G101">
        <v>12.77</v>
      </c>
    </row>
    <row r="102" spans="1:7" x14ac:dyDescent="0.2">
      <c r="A102">
        <v>1727059291255</v>
      </c>
      <c r="B102">
        <v>1</v>
      </c>
      <c r="C102" t="s">
        <v>195</v>
      </c>
      <c r="D102">
        <v>14.2988912</v>
      </c>
      <c r="E102">
        <v>15.512948</v>
      </c>
      <c r="F102">
        <v>8.4905660377358494</v>
      </c>
      <c r="G102">
        <v>2.54</v>
      </c>
    </row>
    <row r="103" spans="1:7" x14ac:dyDescent="0.2">
      <c r="A103">
        <v>2094</v>
      </c>
      <c r="B103">
        <v>1</v>
      </c>
      <c r="C103" t="s">
        <v>195</v>
      </c>
      <c r="D103">
        <v>11.735882399999999</v>
      </c>
      <c r="E103">
        <v>13.3546248</v>
      </c>
      <c r="F103">
        <v>13.793103448275881</v>
      </c>
      <c r="G103">
        <v>19.5</v>
      </c>
    </row>
    <row r="104" spans="1:7" x14ac:dyDescent="0.2">
      <c r="A104">
        <v>1738232623653</v>
      </c>
      <c r="B104">
        <v>4</v>
      </c>
      <c r="C104" t="s">
        <v>197</v>
      </c>
      <c r="D104">
        <v>15.7827384</v>
      </c>
      <c r="E104">
        <v>17.401480800000002</v>
      </c>
      <c r="F104">
        <v>10.25641025641025</v>
      </c>
      <c r="G104">
        <v>0</v>
      </c>
    </row>
    <row r="105" spans="1:7" x14ac:dyDescent="0.2">
      <c r="A105">
        <v>1730271485859</v>
      </c>
      <c r="B105">
        <v>1</v>
      </c>
      <c r="C105" t="s">
        <v>195</v>
      </c>
      <c r="D105">
        <v>14.5686816</v>
      </c>
      <c r="E105">
        <v>18.210851999999999</v>
      </c>
      <c r="F105">
        <v>25</v>
      </c>
      <c r="G105">
        <v>15.06</v>
      </c>
    </row>
    <row r="106" spans="1:7" x14ac:dyDescent="0.2">
      <c r="A106">
        <v>1748597683444</v>
      </c>
      <c r="B106">
        <v>13</v>
      </c>
      <c r="C106" t="s">
        <v>198</v>
      </c>
      <c r="D106">
        <v>24.685821600000001</v>
      </c>
      <c r="E106">
        <v>28.732677599999999</v>
      </c>
      <c r="F106">
        <v>16.393442622950811</v>
      </c>
      <c r="G106">
        <v>4.4400000000000004</v>
      </c>
    </row>
    <row r="107" spans="1:7" x14ac:dyDescent="0.2">
      <c r="A107">
        <v>1715928008965</v>
      </c>
      <c r="B107">
        <v>2</v>
      </c>
      <c r="C107" t="s">
        <v>196</v>
      </c>
      <c r="D107">
        <v>15.378052800000001</v>
      </c>
      <c r="E107">
        <v>16.592109600000001</v>
      </c>
      <c r="F107">
        <v>7.8947368421052513</v>
      </c>
      <c r="G107">
        <v>9.9</v>
      </c>
    </row>
    <row r="108" spans="1:7" x14ac:dyDescent="0.2">
      <c r="A108">
        <v>1715926256732</v>
      </c>
      <c r="B108">
        <v>2</v>
      </c>
      <c r="C108" t="s">
        <v>196</v>
      </c>
      <c r="D108">
        <v>7.6890263999999986</v>
      </c>
      <c r="E108">
        <v>14.9733672</v>
      </c>
      <c r="F108">
        <v>94.73684210526315</v>
      </c>
      <c r="G108">
        <v>16.579999999999998</v>
      </c>
    </row>
    <row r="109" spans="1:7" x14ac:dyDescent="0.2">
      <c r="A109">
        <v>1747307907872</v>
      </c>
      <c r="B109">
        <v>4</v>
      </c>
      <c r="C109" t="s">
        <v>197</v>
      </c>
      <c r="D109">
        <v>15.378052800000001</v>
      </c>
      <c r="E109">
        <v>16.187424</v>
      </c>
      <c r="F109">
        <v>5.2631578947368496</v>
      </c>
      <c r="G109">
        <v>0</v>
      </c>
    </row>
    <row r="110" spans="1:7" x14ac:dyDescent="0.2">
      <c r="A110">
        <v>1747638343387</v>
      </c>
      <c r="B110">
        <v>4</v>
      </c>
      <c r="C110" t="s">
        <v>197</v>
      </c>
      <c r="D110">
        <v>14.9733672</v>
      </c>
      <c r="E110">
        <v>17.401480800000002</v>
      </c>
      <c r="F110">
        <v>16.21621621621621</v>
      </c>
      <c r="G110">
        <v>0</v>
      </c>
    </row>
    <row r="111" spans="1:7" x14ac:dyDescent="0.2">
      <c r="A111">
        <v>1742961660903</v>
      </c>
      <c r="B111">
        <v>4</v>
      </c>
      <c r="C111" t="s">
        <v>197</v>
      </c>
      <c r="D111">
        <v>18.210851999999999</v>
      </c>
      <c r="E111">
        <v>19.0202232</v>
      </c>
      <c r="F111">
        <v>4.4444444444444304</v>
      </c>
      <c r="G111">
        <v>4.4800000000000004</v>
      </c>
    </row>
    <row r="112" spans="1:7" x14ac:dyDescent="0.2">
      <c r="A112">
        <v>1727071912351</v>
      </c>
      <c r="B112">
        <v>1</v>
      </c>
      <c r="C112" t="s">
        <v>195</v>
      </c>
      <c r="D112">
        <v>14.838471999999999</v>
      </c>
      <c r="E112">
        <v>19.0202232</v>
      </c>
      <c r="F112">
        <v>28.181818181818159</v>
      </c>
      <c r="G112">
        <v>28.99</v>
      </c>
    </row>
    <row r="113" spans="1:7" x14ac:dyDescent="0.2">
      <c r="A113">
        <v>1727148521115</v>
      </c>
      <c r="B113">
        <v>1</v>
      </c>
      <c r="C113" t="s">
        <v>195</v>
      </c>
      <c r="D113">
        <v>14.0291008</v>
      </c>
      <c r="E113">
        <v>16.996795200000001</v>
      </c>
      <c r="F113">
        <v>21.153846153846139</v>
      </c>
      <c r="G113">
        <v>6.24</v>
      </c>
    </row>
    <row r="114" spans="1:7" x14ac:dyDescent="0.2">
      <c r="A114">
        <v>1726815514669</v>
      </c>
      <c r="B114">
        <v>1</v>
      </c>
      <c r="C114" t="s">
        <v>195</v>
      </c>
      <c r="D114">
        <v>12.005672799999999</v>
      </c>
      <c r="E114">
        <v>14.433786400000001</v>
      </c>
      <c r="F114">
        <v>20.22471910112359</v>
      </c>
      <c r="G114">
        <v>7.22</v>
      </c>
    </row>
    <row r="115" spans="1:7" x14ac:dyDescent="0.2">
      <c r="A115">
        <v>1726475147448</v>
      </c>
      <c r="B115">
        <v>1</v>
      </c>
      <c r="C115" t="s">
        <v>195</v>
      </c>
      <c r="D115">
        <v>14.838471999999999</v>
      </c>
      <c r="E115">
        <v>17.266585599999999</v>
      </c>
      <c r="F115">
        <v>16.36363636363636</v>
      </c>
      <c r="G115">
        <v>3.2</v>
      </c>
    </row>
    <row r="116" spans="1:7" x14ac:dyDescent="0.2">
      <c r="A116">
        <v>1726210854356</v>
      </c>
      <c r="B116">
        <v>2</v>
      </c>
      <c r="C116" t="s">
        <v>196</v>
      </c>
      <c r="D116">
        <v>10.117139999999999</v>
      </c>
      <c r="E116">
        <v>13.3546248</v>
      </c>
      <c r="F116">
        <v>32.000000000000007</v>
      </c>
      <c r="G116">
        <v>7.8</v>
      </c>
    </row>
    <row r="117" spans="1:7" x14ac:dyDescent="0.2">
      <c r="A117">
        <v>1747631698143</v>
      </c>
      <c r="B117">
        <v>14</v>
      </c>
      <c r="C117" t="s">
        <v>199</v>
      </c>
      <c r="D117">
        <v>24.416031199999999</v>
      </c>
      <c r="E117">
        <v>41.412826399999993</v>
      </c>
      <c r="F117">
        <v>69.613259668508263</v>
      </c>
      <c r="G117">
        <v>7.63</v>
      </c>
    </row>
    <row r="118" spans="1:7" x14ac:dyDescent="0.2">
      <c r="A118">
        <v>1748669502562</v>
      </c>
      <c r="B118">
        <v>2</v>
      </c>
      <c r="C118" t="s">
        <v>196</v>
      </c>
      <c r="D118">
        <v>9.3077687999999998</v>
      </c>
      <c r="E118">
        <v>15.378052800000001</v>
      </c>
      <c r="F118">
        <v>65.217391304347814</v>
      </c>
      <c r="G118">
        <v>12.04</v>
      </c>
    </row>
    <row r="119" spans="1:7" x14ac:dyDescent="0.2">
      <c r="A119">
        <v>1726467464650</v>
      </c>
      <c r="B119">
        <v>2</v>
      </c>
      <c r="C119" t="s">
        <v>196</v>
      </c>
      <c r="D119">
        <v>12.140568</v>
      </c>
      <c r="E119">
        <v>23.067079199999991</v>
      </c>
      <c r="F119">
        <v>89.999999999999986</v>
      </c>
      <c r="G119">
        <v>7.69</v>
      </c>
    </row>
    <row r="120" spans="1:7" x14ac:dyDescent="0.2">
      <c r="A120">
        <v>2090</v>
      </c>
      <c r="B120">
        <v>1</v>
      </c>
      <c r="C120" t="s">
        <v>195</v>
      </c>
      <c r="D120">
        <v>12.005672799999999</v>
      </c>
      <c r="E120">
        <v>16.187424</v>
      </c>
      <c r="F120">
        <v>34.831460674157277</v>
      </c>
      <c r="G120">
        <v>20.92</v>
      </c>
    </row>
    <row r="121" spans="1:7" x14ac:dyDescent="0.2">
      <c r="A121">
        <v>1729054993949</v>
      </c>
      <c r="B121">
        <v>1</v>
      </c>
      <c r="C121" t="s">
        <v>195</v>
      </c>
      <c r="D121">
        <v>11.061406399999999</v>
      </c>
      <c r="E121">
        <v>12.545253600000001</v>
      </c>
      <c r="F121">
        <v>13.414634146341459</v>
      </c>
      <c r="G121">
        <v>20.93</v>
      </c>
    </row>
    <row r="122" spans="1:7" x14ac:dyDescent="0.2">
      <c r="A122">
        <v>1746683181143</v>
      </c>
      <c r="B122">
        <v>4</v>
      </c>
      <c r="C122" t="s">
        <v>197</v>
      </c>
      <c r="D122">
        <v>15.378052800000001</v>
      </c>
      <c r="E122">
        <v>17.401480800000002</v>
      </c>
      <c r="F122">
        <v>13.157894736842101</v>
      </c>
      <c r="G122">
        <v>0</v>
      </c>
    </row>
    <row r="123" spans="1:7" x14ac:dyDescent="0.2">
      <c r="A123">
        <v>1747635456615</v>
      </c>
      <c r="B123">
        <v>4</v>
      </c>
      <c r="C123" t="s">
        <v>197</v>
      </c>
      <c r="D123">
        <v>14.9733672</v>
      </c>
      <c r="E123">
        <v>16.996795200000001</v>
      </c>
      <c r="F123">
        <v>13.51351351351351</v>
      </c>
      <c r="G123">
        <v>0</v>
      </c>
    </row>
    <row r="124" spans="1:7" x14ac:dyDescent="0.2">
      <c r="A124">
        <v>1726652775795</v>
      </c>
      <c r="B124">
        <v>1</v>
      </c>
      <c r="C124" t="s">
        <v>195</v>
      </c>
      <c r="D124">
        <v>14.433786400000001</v>
      </c>
      <c r="E124">
        <v>16.861899999999999</v>
      </c>
      <c r="F124">
        <v>16.822429906542059</v>
      </c>
      <c r="G124">
        <v>7.8</v>
      </c>
    </row>
    <row r="125" spans="1:7" x14ac:dyDescent="0.2">
      <c r="A125">
        <v>2110</v>
      </c>
      <c r="B125">
        <v>1</v>
      </c>
      <c r="C125" t="s">
        <v>195</v>
      </c>
      <c r="D125">
        <v>11.331196800000001</v>
      </c>
      <c r="E125">
        <v>12.6801488</v>
      </c>
      <c r="F125">
        <v>11.90476190476191</v>
      </c>
      <c r="G125">
        <v>14.2</v>
      </c>
    </row>
    <row r="126" spans="1:7" x14ac:dyDescent="0.2">
      <c r="A126">
        <v>1747974728542</v>
      </c>
      <c r="B126">
        <v>13</v>
      </c>
      <c r="C126" t="s">
        <v>198</v>
      </c>
      <c r="D126">
        <v>16.187424</v>
      </c>
      <c r="E126">
        <v>20.638965599999999</v>
      </c>
      <c r="F126">
        <v>27.499999999999989</v>
      </c>
      <c r="G126">
        <v>9.44</v>
      </c>
    </row>
    <row r="127" spans="1:7" x14ac:dyDescent="0.2">
      <c r="A127">
        <v>1747982366374</v>
      </c>
      <c r="B127">
        <v>13</v>
      </c>
      <c r="C127" t="s">
        <v>198</v>
      </c>
      <c r="D127">
        <v>12.545253600000001</v>
      </c>
      <c r="E127">
        <v>21.043651199999999</v>
      </c>
      <c r="F127">
        <v>67.741935483870975</v>
      </c>
      <c r="G127">
        <v>4.8099999999999996</v>
      </c>
    </row>
    <row r="128" spans="1:7" x14ac:dyDescent="0.2">
      <c r="A128">
        <v>1722060583933</v>
      </c>
      <c r="B128">
        <v>2</v>
      </c>
      <c r="C128" t="s">
        <v>196</v>
      </c>
      <c r="D128">
        <v>9.7124543999999986</v>
      </c>
      <c r="E128">
        <v>12.949939199999999</v>
      </c>
      <c r="F128">
        <v>33.33333333333335</v>
      </c>
      <c r="G128">
        <v>6.76</v>
      </c>
    </row>
    <row r="129" spans="1:7" x14ac:dyDescent="0.2">
      <c r="A129">
        <v>1726468780378</v>
      </c>
      <c r="B129">
        <v>2</v>
      </c>
      <c r="C129" t="s">
        <v>196</v>
      </c>
      <c r="D129">
        <v>10.117139999999999</v>
      </c>
      <c r="E129">
        <v>10.117139999999999</v>
      </c>
      <c r="F129">
        <v>0</v>
      </c>
      <c r="G129">
        <v>11.82</v>
      </c>
    </row>
    <row r="130" spans="1:7" x14ac:dyDescent="0.2">
      <c r="A130">
        <v>1723789134750</v>
      </c>
      <c r="B130">
        <v>1</v>
      </c>
      <c r="C130" t="s">
        <v>195</v>
      </c>
      <c r="D130">
        <v>12.949939199999999</v>
      </c>
      <c r="E130">
        <v>16.322319199999999</v>
      </c>
      <c r="F130">
        <v>26.041666666666671</v>
      </c>
      <c r="G130">
        <v>15.58</v>
      </c>
    </row>
    <row r="131" spans="1:7" x14ac:dyDescent="0.2">
      <c r="A131">
        <v>1723612955040</v>
      </c>
      <c r="B131">
        <v>1</v>
      </c>
      <c r="C131" t="s">
        <v>195</v>
      </c>
      <c r="D131">
        <v>12.815044</v>
      </c>
      <c r="E131">
        <v>16.861899999999999</v>
      </c>
      <c r="F131">
        <v>31.578947368421051</v>
      </c>
      <c r="G131">
        <v>13.22</v>
      </c>
    </row>
    <row r="132" spans="1:7" x14ac:dyDescent="0.2">
      <c r="A132">
        <v>1725268597160</v>
      </c>
      <c r="B132">
        <v>1</v>
      </c>
      <c r="C132" t="s">
        <v>195</v>
      </c>
      <c r="D132">
        <v>11.331196800000001</v>
      </c>
      <c r="E132">
        <v>14.2988912</v>
      </c>
      <c r="F132">
        <v>26.1904761904762</v>
      </c>
      <c r="G132">
        <v>11.24</v>
      </c>
    </row>
    <row r="133" spans="1:7" x14ac:dyDescent="0.2">
      <c r="A133">
        <v>1725268513981</v>
      </c>
      <c r="B133">
        <v>1</v>
      </c>
      <c r="C133" t="s">
        <v>195</v>
      </c>
      <c r="D133">
        <v>11.8707776</v>
      </c>
      <c r="E133">
        <v>14.0291008</v>
      </c>
      <c r="F133">
        <v>18.181818181818201</v>
      </c>
      <c r="G133">
        <v>15.82</v>
      </c>
    </row>
    <row r="134" spans="1:7" x14ac:dyDescent="0.2">
      <c r="A134">
        <v>1747289849072</v>
      </c>
      <c r="B134">
        <v>2</v>
      </c>
      <c r="C134" t="s">
        <v>196</v>
      </c>
      <c r="D134">
        <v>12.545253600000001</v>
      </c>
      <c r="E134">
        <v>18.6155376</v>
      </c>
      <c r="F134">
        <v>48.387096774193559</v>
      </c>
      <c r="G134">
        <v>13.13</v>
      </c>
    </row>
    <row r="135" spans="1:7" x14ac:dyDescent="0.2">
      <c r="A135">
        <v>1749460775703</v>
      </c>
      <c r="B135">
        <v>4</v>
      </c>
      <c r="C135" t="s">
        <v>197</v>
      </c>
      <c r="D135">
        <v>16.996795200000001</v>
      </c>
      <c r="E135">
        <v>19.424908800000001</v>
      </c>
      <c r="F135">
        <v>14.285714285714279</v>
      </c>
      <c r="G135">
        <v>0</v>
      </c>
    </row>
    <row r="136" spans="1:7" x14ac:dyDescent="0.2">
      <c r="A136">
        <v>1749703452038</v>
      </c>
      <c r="B136">
        <v>4</v>
      </c>
      <c r="C136" t="s">
        <v>197</v>
      </c>
      <c r="D136">
        <v>16.592109600000001</v>
      </c>
      <c r="E136">
        <v>19.0202232</v>
      </c>
      <c r="F136">
        <v>14.634146341463421</v>
      </c>
      <c r="G136">
        <v>0</v>
      </c>
    </row>
    <row r="137" spans="1:7" x14ac:dyDescent="0.2">
      <c r="A137">
        <v>1747465403042</v>
      </c>
      <c r="B137">
        <v>4</v>
      </c>
      <c r="C137" t="s">
        <v>197</v>
      </c>
      <c r="D137">
        <v>16.187424</v>
      </c>
      <c r="E137">
        <v>17.401480800000002</v>
      </c>
      <c r="F137">
        <v>7.4999999999999876</v>
      </c>
      <c r="G137">
        <v>0</v>
      </c>
    </row>
    <row r="138" spans="1:7" x14ac:dyDescent="0.2">
      <c r="A138">
        <v>1747300706091</v>
      </c>
      <c r="B138">
        <v>2</v>
      </c>
      <c r="C138" t="s">
        <v>196</v>
      </c>
      <c r="D138">
        <v>14.9733672</v>
      </c>
      <c r="E138">
        <v>19.829594400000001</v>
      </c>
      <c r="F138">
        <v>32.432432432432428</v>
      </c>
      <c r="G138">
        <v>8</v>
      </c>
    </row>
    <row r="139" spans="1:7" x14ac:dyDescent="0.2">
      <c r="A139">
        <v>1747367913122</v>
      </c>
      <c r="B139">
        <v>14</v>
      </c>
      <c r="C139" t="s">
        <v>199</v>
      </c>
      <c r="D139">
        <v>24.685821600000001</v>
      </c>
      <c r="E139">
        <v>35.747227999999993</v>
      </c>
      <c r="F139">
        <v>44.808743169398888</v>
      </c>
      <c r="G139">
        <v>8.36</v>
      </c>
    </row>
    <row r="140" spans="1:7" x14ac:dyDescent="0.2">
      <c r="A140">
        <v>1744265675362</v>
      </c>
      <c r="B140">
        <v>4</v>
      </c>
      <c r="C140" t="s">
        <v>197</v>
      </c>
      <c r="D140">
        <v>18.6155376</v>
      </c>
      <c r="E140">
        <v>20.234279999999998</v>
      </c>
      <c r="F140">
        <v>8.6956521739130359</v>
      </c>
      <c r="G140">
        <v>0</v>
      </c>
    </row>
    <row r="141" spans="1:7" x14ac:dyDescent="0.2">
      <c r="A141">
        <v>1744002457392</v>
      </c>
      <c r="B141">
        <v>4</v>
      </c>
      <c r="C141" t="s">
        <v>197</v>
      </c>
      <c r="D141">
        <v>17.401480800000002</v>
      </c>
      <c r="E141">
        <v>19.424908800000001</v>
      </c>
      <c r="F141">
        <v>11.62790697674418</v>
      </c>
      <c r="G141">
        <v>0</v>
      </c>
    </row>
    <row r="142" spans="1:7" x14ac:dyDescent="0.2">
      <c r="A142">
        <v>1726202434966</v>
      </c>
      <c r="B142">
        <v>1</v>
      </c>
      <c r="C142" t="s">
        <v>195</v>
      </c>
      <c r="D142">
        <v>11.735882399999999</v>
      </c>
      <c r="E142">
        <v>13.894205599999999</v>
      </c>
      <c r="F142">
        <v>18.390804597701148</v>
      </c>
      <c r="G142">
        <v>11.15</v>
      </c>
    </row>
    <row r="143" spans="1:7" x14ac:dyDescent="0.2">
      <c r="A143">
        <v>1730191849761</v>
      </c>
      <c r="B143">
        <v>2</v>
      </c>
      <c r="C143" t="s">
        <v>196</v>
      </c>
      <c r="D143">
        <v>8.9030831999999993</v>
      </c>
      <c r="E143">
        <v>12.545253600000001</v>
      </c>
      <c r="F143">
        <v>40.909090909090907</v>
      </c>
      <c r="G143">
        <v>11.51</v>
      </c>
    </row>
    <row r="144" spans="1:7" x14ac:dyDescent="0.2">
      <c r="A144">
        <v>1749031404040</v>
      </c>
      <c r="B144">
        <v>13</v>
      </c>
      <c r="C144" t="s">
        <v>198</v>
      </c>
      <c r="D144">
        <v>13.3546248</v>
      </c>
      <c r="E144">
        <v>15.378052800000001</v>
      </c>
      <c r="F144">
        <v>15.15151515151515</v>
      </c>
      <c r="G144">
        <v>8.74</v>
      </c>
    </row>
    <row r="145" spans="1:7" x14ac:dyDescent="0.2">
      <c r="A145">
        <v>1748948559232</v>
      </c>
      <c r="B145">
        <v>13</v>
      </c>
      <c r="C145" t="s">
        <v>198</v>
      </c>
      <c r="D145">
        <v>12.545253600000001</v>
      </c>
      <c r="E145">
        <v>13.3546248</v>
      </c>
      <c r="F145">
        <v>6.4516129032258158</v>
      </c>
      <c r="G145">
        <v>12.07</v>
      </c>
    </row>
    <row r="146" spans="1:7" x14ac:dyDescent="0.2">
      <c r="A146">
        <v>1738043697698</v>
      </c>
      <c r="B146">
        <v>2</v>
      </c>
      <c r="C146" t="s">
        <v>196</v>
      </c>
      <c r="D146">
        <v>10.117139999999999</v>
      </c>
      <c r="E146">
        <v>16.187424</v>
      </c>
      <c r="F146">
        <v>60.000000000000007</v>
      </c>
      <c r="G146">
        <v>5.41</v>
      </c>
    </row>
    <row r="147" spans="1:7" x14ac:dyDescent="0.2">
      <c r="A147">
        <v>1737529892713</v>
      </c>
      <c r="B147">
        <v>2</v>
      </c>
      <c r="C147" t="s">
        <v>196</v>
      </c>
      <c r="D147">
        <v>17.401480800000002</v>
      </c>
      <c r="E147">
        <v>17.401480800000002</v>
      </c>
      <c r="F147">
        <v>0</v>
      </c>
      <c r="G147">
        <v>12.73</v>
      </c>
    </row>
    <row r="148" spans="1:7" x14ac:dyDescent="0.2">
      <c r="A148">
        <v>1723182731633</v>
      </c>
      <c r="B148">
        <v>1</v>
      </c>
      <c r="C148" t="s">
        <v>195</v>
      </c>
      <c r="D148">
        <v>14.163995999999999</v>
      </c>
      <c r="E148">
        <v>16.322319199999999</v>
      </c>
      <c r="F148">
        <v>15.238095238095219</v>
      </c>
      <c r="G148">
        <v>7.38</v>
      </c>
    </row>
    <row r="149" spans="1:7" x14ac:dyDescent="0.2">
      <c r="A149">
        <v>1728364674094</v>
      </c>
      <c r="B149">
        <v>1</v>
      </c>
      <c r="C149" t="s">
        <v>195</v>
      </c>
      <c r="D149">
        <v>11.735882399999999</v>
      </c>
      <c r="E149">
        <v>13.3546248</v>
      </c>
      <c r="F149">
        <v>13.793103448275881</v>
      </c>
      <c r="G149">
        <v>34.700000000000003</v>
      </c>
    </row>
    <row r="150" spans="1:7" x14ac:dyDescent="0.2">
      <c r="A150">
        <v>1748249298563</v>
      </c>
      <c r="B150">
        <v>2</v>
      </c>
      <c r="C150" t="s">
        <v>196</v>
      </c>
      <c r="D150">
        <v>15.378052800000001</v>
      </c>
      <c r="E150">
        <v>20.638965599999999</v>
      </c>
      <c r="F150">
        <v>34.210526315789473</v>
      </c>
      <c r="G150">
        <v>9.66</v>
      </c>
    </row>
    <row r="151" spans="1:7" x14ac:dyDescent="0.2">
      <c r="A151">
        <v>1727676681168</v>
      </c>
      <c r="B151">
        <v>1</v>
      </c>
      <c r="C151" t="s">
        <v>195</v>
      </c>
      <c r="D151">
        <v>11.6009872</v>
      </c>
      <c r="E151">
        <v>15.2431576</v>
      </c>
      <c r="F151">
        <v>31.395348837209301</v>
      </c>
      <c r="G151">
        <v>32.299999999999997</v>
      </c>
    </row>
    <row r="152" spans="1:7" x14ac:dyDescent="0.2">
      <c r="A152">
        <v>1727337282117</v>
      </c>
      <c r="B152">
        <v>1</v>
      </c>
      <c r="C152" t="s">
        <v>195</v>
      </c>
      <c r="D152">
        <v>11.8707776</v>
      </c>
      <c r="E152">
        <v>15.647843200000001</v>
      </c>
      <c r="F152">
        <v>31.81818181818182</v>
      </c>
      <c r="G152">
        <v>7.65</v>
      </c>
    </row>
    <row r="153" spans="1:7" x14ac:dyDescent="0.2">
      <c r="A153">
        <v>1747721137583</v>
      </c>
      <c r="B153">
        <v>2</v>
      </c>
      <c r="C153" t="s">
        <v>196</v>
      </c>
      <c r="D153">
        <v>14.9733672</v>
      </c>
      <c r="E153">
        <v>16.187424</v>
      </c>
      <c r="F153">
        <v>8.1081081081081194</v>
      </c>
      <c r="G153">
        <v>4.28</v>
      </c>
    </row>
    <row r="154" spans="1:7" x14ac:dyDescent="0.2">
      <c r="A154">
        <v>1719301507922</v>
      </c>
      <c r="B154">
        <v>2</v>
      </c>
      <c r="C154" t="s">
        <v>196</v>
      </c>
      <c r="D154">
        <v>10.5218256</v>
      </c>
      <c r="E154">
        <v>14.5686816</v>
      </c>
      <c r="F154">
        <v>38.461538461538453</v>
      </c>
      <c r="G154">
        <v>8.32</v>
      </c>
    </row>
    <row r="155" spans="1:7" x14ac:dyDescent="0.2">
      <c r="A155">
        <v>1749617693470</v>
      </c>
      <c r="B155">
        <v>14</v>
      </c>
      <c r="C155" t="s">
        <v>199</v>
      </c>
      <c r="D155">
        <v>19.694699199999999</v>
      </c>
      <c r="E155">
        <v>25.2254024</v>
      </c>
      <c r="F155">
        <v>28.08219178082193</v>
      </c>
      <c r="G155">
        <v>11.76</v>
      </c>
    </row>
    <row r="156" spans="1:7" x14ac:dyDescent="0.2">
      <c r="A156">
        <v>1724397412725</v>
      </c>
      <c r="B156">
        <v>1</v>
      </c>
      <c r="C156" t="s">
        <v>195</v>
      </c>
      <c r="D156">
        <v>13.219729600000001</v>
      </c>
      <c r="E156">
        <v>15.512948</v>
      </c>
      <c r="F156">
        <v>17.3469387755102</v>
      </c>
      <c r="G156">
        <v>11.6</v>
      </c>
    </row>
    <row r="157" spans="1:7" x14ac:dyDescent="0.2">
      <c r="A157">
        <v>1712578294060</v>
      </c>
      <c r="B157">
        <v>2</v>
      </c>
      <c r="C157" t="s">
        <v>196</v>
      </c>
      <c r="D157">
        <v>76.890263999999988</v>
      </c>
      <c r="E157">
        <v>101.17140000000001</v>
      </c>
      <c r="F157">
        <v>31.578947368421058</v>
      </c>
      <c r="G157">
        <v>0.40500000000000003</v>
      </c>
    </row>
    <row r="158" spans="1:7" x14ac:dyDescent="0.2">
      <c r="A158">
        <v>1730270441204</v>
      </c>
      <c r="B158">
        <v>2</v>
      </c>
      <c r="C158" t="s">
        <v>196</v>
      </c>
      <c r="D158">
        <v>10.5218256</v>
      </c>
      <c r="E158">
        <v>20.234279999999998</v>
      </c>
      <c r="F158">
        <v>92.307692307692307</v>
      </c>
      <c r="G158">
        <v>11.15</v>
      </c>
    </row>
    <row r="159" spans="1:7" x14ac:dyDescent="0.2">
      <c r="A159">
        <v>1730195272434</v>
      </c>
      <c r="B159">
        <v>2</v>
      </c>
      <c r="C159" t="s">
        <v>196</v>
      </c>
      <c r="D159">
        <v>8.4983975999999988</v>
      </c>
      <c r="E159">
        <v>6.4749695999999997</v>
      </c>
      <c r="F159">
        <v>-23.8095238095238</v>
      </c>
      <c r="G159">
        <v>4.09</v>
      </c>
    </row>
    <row r="160" spans="1:7" x14ac:dyDescent="0.2">
      <c r="A160">
        <v>1716185982975</v>
      </c>
      <c r="B160">
        <v>2</v>
      </c>
      <c r="C160" t="s">
        <v>196</v>
      </c>
      <c r="D160">
        <v>7.2843407999999989</v>
      </c>
      <c r="E160">
        <v>7.6890263999999986</v>
      </c>
      <c r="F160">
        <v>5.5555555555555634</v>
      </c>
      <c r="G160">
        <v>9.17</v>
      </c>
    </row>
    <row r="161" spans="1:7" x14ac:dyDescent="0.2">
      <c r="A161">
        <v>1748587713053</v>
      </c>
      <c r="B161">
        <v>2</v>
      </c>
      <c r="C161" t="s">
        <v>196</v>
      </c>
      <c r="D161">
        <v>10.5218256</v>
      </c>
      <c r="E161">
        <v>13.7593104</v>
      </c>
      <c r="F161">
        <v>30.769230769230781</v>
      </c>
      <c r="G161">
        <v>5.57</v>
      </c>
    </row>
    <row r="162" spans="1:7" x14ac:dyDescent="0.2">
      <c r="A162">
        <v>1747198921053</v>
      </c>
      <c r="B162">
        <v>2</v>
      </c>
      <c r="C162" t="s">
        <v>196</v>
      </c>
      <c r="D162">
        <v>12.545253600000001</v>
      </c>
      <c r="E162">
        <v>16.592109600000001</v>
      </c>
      <c r="F162">
        <v>32.258064516129018</v>
      </c>
      <c r="G162">
        <v>5.4</v>
      </c>
    </row>
    <row r="163" spans="1:7" x14ac:dyDescent="0.2">
      <c r="A163">
        <v>1746854841698</v>
      </c>
      <c r="B163">
        <v>2</v>
      </c>
      <c r="C163" t="s">
        <v>196</v>
      </c>
      <c r="D163">
        <v>6.0702839999999991</v>
      </c>
      <c r="E163">
        <v>12.949939199999999</v>
      </c>
      <c r="F163">
        <v>113.3333333333334</v>
      </c>
      <c r="G163">
        <v>6.66</v>
      </c>
    </row>
    <row r="164" spans="1:7" x14ac:dyDescent="0.2">
      <c r="A164">
        <v>1747890230768</v>
      </c>
      <c r="B164">
        <v>2</v>
      </c>
      <c r="C164" t="s">
        <v>196</v>
      </c>
      <c r="D164">
        <v>12.545253600000001</v>
      </c>
      <c r="E164">
        <v>17.806166399999999</v>
      </c>
      <c r="F164">
        <v>41.935483870967737</v>
      </c>
      <c r="G164">
        <v>4.75</v>
      </c>
    </row>
    <row r="165" spans="1:7" x14ac:dyDescent="0.2">
      <c r="A165">
        <v>1727234431388</v>
      </c>
      <c r="B165">
        <v>1</v>
      </c>
      <c r="C165" t="s">
        <v>195</v>
      </c>
      <c r="D165">
        <v>14.9733672</v>
      </c>
      <c r="E165">
        <v>17.401480800000002</v>
      </c>
      <c r="F165">
        <v>16.2162162162162</v>
      </c>
      <c r="G165">
        <v>17.43</v>
      </c>
    </row>
    <row r="166" spans="1:7" x14ac:dyDescent="0.2">
      <c r="A166">
        <v>1747124059774</v>
      </c>
      <c r="B166">
        <v>14</v>
      </c>
      <c r="C166" t="s">
        <v>199</v>
      </c>
      <c r="D166">
        <v>13.0848344</v>
      </c>
      <c r="E166">
        <v>21.987917599999999</v>
      </c>
      <c r="F166">
        <v>68.041237113402076</v>
      </c>
      <c r="G166">
        <v>11.49</v>
      </c>
    </row>
    <row r="167" spans="1:7" x14ac:dyDescent="0.2">
      <c r="A167">
        <v>1747119805958</v>
      </c>
      <c r="B167">
        <v>14</v>
      </c>
      <c r="C167" t="s">
        <v>199</v>
      </c>
      <c r="D167">
        <v>26.034773600000001</v>
      </c>
      <c r="E167">
        <v>37.500865599999997</v>
      </c>
      <c r="F167">
        <v>44.041450777202073</v>
      </c>
      <c r="G167">
        <v>7.8</v>
      </c>
    </row>
    <row r="168" spans="1:7" x14ac:dyDescent="0.2">
      <c r="A168">
        <v>1725513930437</v>
      </c>
      <c r="B168">
        <v>1</v>
      </c>
      <c r="C168" t="s">
        <v>195</v>
      </c>
      <c r="D168">
        <v>15.2431576</v>
      </c>
      <c r="E168">
        <v>17.536376000000001</v>
      </c>
      <c r="F168">
        <v>15.04424778761064</v>
      </c>
      <c r="G168">
        <v>18.93</v>
      </c>
    </row>
    <row r="169" spans="1:7" x14ac:dyDescent="0.2">
      <c r="A169">
        <v>1726030811826</v>
      </c>
      <c r="B169">
        <v>1</v>
      </c>
      <c r="C169" t="s">
        <v>195</v>
      </c>
      <c r="D169">
        <v>11.1963016</v>
      </c>
      <c r="E169">
        <v>13.7593104</v>
      </c>
      <c r="F169">
        <v>22.891566265060241</v>
      </c>
      <c r="G169">
        <v>5.29</v>
      </c>
    </row>
    <row r="170" spans="1:7" x14ac:dyDescent="0.2">
      <c r="A170">
        <v>1725268784818</v>
      </c>
      <c r="B170">
        <v>1</v>
      </c>
      <c r="C170" t="s">
        <v>195</v>
      </c>
      <c r="D170">
        <v>11.735882399999999</v>
      </c>
      <c r="E170">
        <v>12.949939199999999</v>
      </c>
      <c r="F170">
        <v>10.344827586206909</v>
      </c>
      <c r="G170">
        <v>7.09</v>
      </c>
    </row>
    <row r="171" spans="1:7" x14ac:dyDescent="0.2">
      <c r="A171">
        <v>1725339798575</v>
      </c>
      <c r="B171">
        <v>1</v>
      </c>
      <c r="C171" t="s">
        <v>195</v>
      </c>
      <c r="D171">
        <v>10.2520352</v>
      </c>
      <c r="E171">
        <v>12.140568</v>
      </c>
      <c r="F171">
        <v>18.421052631578931</v>
      </c>
      <c r="G171">
        <v>28.88</v>
      </c>
    </row>
    <row r="172" spans="1:7" x14ac:dyDescent="0.2">
      <c r="A172">
        <v>1727340787741</v>
      </c>
      <c r="B172">
        <v>1</v>
      </c>
      <c r="C172" t="s">
        <v>195</v>
      </c>
      <c r="D172">
        <v>12.545253600000001</v>
      </c>
      <c r="E172">
        <v>18.210851999999999</v>
      </c>
      <c r="F172">
        <v>45.161290322580648</v>
      </c>
      <c r="G172">
        <v>45.89</v>
      </c>
    </row>
    <row r="173" spans="1:7" x14ac:dyDescent="0.2">
      <c r="A173">
        <v>1726284919075</v>
      </c>
      <c r="B173">
        <v>1</v>
      </c>
      <c r="C173" t="s">
        <v>195</v>
      </c>
      <c r="D173">
        <v>13.6244152</v>
      </c>
      <c r="E173">
        <v>16.322319199999999</v>
      </c>
      <c r="F173">
        <v>19.801980198019798</v>
      </c>
      <c r="G173">
        <v>19.100000000000001</v>
      </c>
    </row>
    <row r="174" spans="1:7" x14ac:dyDescent="0.2">
      <c r="A174">
        <v>1727756936915</v>
      </c>
      <c r="B174">
        <v>1</v>
      </c>
      <c r="C174" t="s">
        <v>195</v>
      </c>
      <c r="D174">
        <v>14.433786400000001</v>
      </c>
      <c r="E174">
        <v>15.7827384</v>
      </c>
      <c r="F174">
        <v>9.3457943925233575</v>
      </c>
      <c r="G174">
        <v>8.82</v>
      </c>
    </row>
    <row r="175" spans="1:7" x14ac:dyDescent="0.2">
      <c r="A175">
        <v>1748059781360</v>
      </c>
      <c r="B175">
        <v>2</v>
      </c>
      <c r="C175" t="s">
        <v>196</v>
      </c>
      <c r="D175">
        <v>10.5218256</v>
      </c>
      <c r="E175">
        <v>12.545253600000001</v>
      </c>
      <c r="F175">
        <v>19.230769230769219</v>
      </c>
      <c r="G175">
        <v>11.85</v>
      </c>
    </row>
    <row r="176" spans="1:7" x14ac:dyDescent="0.2">
      <c r="A176">
        <v>1747649412309</v>
      </c>
      <c r="B176">
        <v>2</v>
      </c>
      <c r="C176" t="s">
        <v>196</v>
      </c>
      <c r="D176">
        <v>4.8562271999999993</v>
      </c>
      <c r="E176">
        <v>8.9030831999999993</v>
      </c>
      <c r="F176">
        <v>83.333333333333343</v>
      </c>
      <c r="G176">
        <v>8.0299999999999994</v>
      </c>
    </row>
    <row r="177" spans="1:7" x14ac:dyDescent="0.2">
      <c r="A177">
        <v>1723096033689</v>
      </c>
      <c r="B177">
        <v>2</v>
      </c>
      <c r="C177" t="s">
        <v>196</v>
      </c>
      <c r="D177">
        <v>11.735882399999999</v>
      </c>
      <c r="E177">
        <v>14.5686816</v>
      </c>
      <c r="F177">
        <v>24.137931034482769</v>
      </c>
      <c r="G177">
        <v>7.2</v>
      </c>
    </row>
    <row r="178" spans="1:7" x14ac:dyDescent="0.2">
      <c r="A178">
        <v>1747025829152</v>
      </c>
      <c r="B178">
        <v>2</v>
      </c>
      <c r="C178" t="s">
        <v>196</v>
      </c>
      <c r="D178">
        <v>2.8327992000000002</v>
      </c>
      <c r="E178">
        <v>8.4983975999999988</v>
      </c>
      <c r="F178">
        <v>199.99999999999989</v>
      </c>
      <c r="G178">
        <v>14.7</v>
      </c>
    </row>
    <row r="179" spans="1:7" x14ac:dyDescent="0.2">
      <c r="A179">
        <v>1748077552051</v>
      </c>
      <c r="B179">
        <v>2</v>
      </c>
      <c r="C179" t="s">
        <v>196</v>
      </c>
      <c r="D179">
        <v>13.7593104</v>
      </c>
      <c r="E179">
        <v>16.996795200000001</v>
      </c>
      <c r="F179">
        <v>23.529411764705859</v>
      </c>
      <c r="G179">
        <v>10.79</v>
      </c>
    </row>
    <row r="180" spans="1:7" x14ac:dyDescent="0.2">
      <c r="A180">
        <v>1747199649742</v>
      </c>
      <c r="B180">
        <v>2</v>
      </c>
      <c r="C180" t="s">
        <v>196</v>
      </c>
      <c r="D180">
        <v>12.949939199999999</v>
      </c>
      <c r="E180">
        <v>17.806166399999999</v>
      </c>
      <c r="F180">
        <v>37.499999999999993</v>
      </c>
      <c r="G180">
        <v>8.76</v>
      </c>
    </row>
    <row r="181" spans="1:7" x14ac:dyDescent="0.2">
      <c r="A181">
        <v>1747629087305</v>
      </c>
      <c r="B181">
        <v>2</v>
      </c>
      <c r="C181" t="s">
        <v>196</v>
      </c>
      <c r="D181">
        <v>10.5218256</v>
      </c>
      <c r="E181">
        <v>16.592109600000001</v>
      </c>
      <c r="F181">
        <v>57.692307692307658</v>
      </c>
      <c r="G181">
        <v>9.8800000000000008</v>
      </c>
    </row>
    <row r="182" spans="1:7" x14ac:dyDescent="0.2">
      <c r="A182">
        <v>1746853959358</v>
      </c>
      <c r="B182">
        <v>2</v>
      </c>
      <c r="C182" t="s">
        <v>196</v>
      </c>
      <c r="D182">
        <v>5.6655984000000004</v>
      </c>
      <c r="E182">
        <v>8.4983975999999988</v>
      </c>
      <c r="F182">
        <v>49.999999999999957</v>
      </c>
      <c r="G182">
        <v>13.02</v>
      </c>
    </row>
    <row r="183" spans="1:7" x14ac:dyDescent="0.2">
      <c r="A183">
        <v>1729661582339</v>
      </c>
      <c r="B183">
        <v>1</v>
      </c>
      <c r="C183" t="s">
        <v>195</v>
      </c>
      <c r="D183">
        <v>14.9733672</v>
      </c>
      <c r="E183">
        <v>18.6155376</v>
      </c>
      <c r="F183">
        <v>24.324324324324301</v>
      </c>
      <c r="G183">
        <v>8.9700000000000006</v>
      </c>
    </row>
    <row r="184" spans="1:7" x14ac:dyDescent="0.2">
      <c r="A184">
        <v>1746793312407</v>
      </c>
      <c r="B184">
        <v>2</v>
      </c>
      <c r="C184" t="s">
        <v>196</v>
      </c>
      <c r="D184">
        <v>6.0702839999999991</v>
      </c>
      <c r="E184">
        <v>9.7124543999999986</v>
      </c>
      <c r="F184">
        <v>60</v>
      </c>
      <c r="G184">
        <v>13.46</v>
      </c>
    </row>
    <row r="185" spans="1:7" x14ac:dyDescent="0.2">
      <c r="A185">
        <v>1738921631305</v>
      </c>
      <c r="B185">
        <v>2</v>
      </c>
      <c r="C185" t="s">
        <v>196</v>
      </c>
      <c r="D185">
        <v>12.140568</v>
      </c>
      <c r="E185">
        <v>18.6155376</v>
      </c>
      <c r="F185">
        <v>53.333333333333357</v>
      </c>
      <c r="G185">
        <v>3.28</v>
      </c>
    </row>
    <row r="186" spans="1:7" x14ac:dyDescent="0.2">
      <c r="A186">
        <v>1726027687486</v>
      </c>
      <c r="B186">
        <v>1</v>
      </c>
      <c r="C186" t="s">
        <v>195</v>
      </c>
      <c r="D186">
        <v>16.592109600000001</v>
      </c>
      <c r="E186">
        <v>19.9644896</v>
      </c>
      <c r="F186">
        <v>20.325203252032541</v>
      </c>
      <c r="G186">
        <v>14.68</v>
      </c>
    </row>
    <row r="187" spans="1:7" x14ac:dyDescent="0.2">
      <c r="A187">
        <v>1747231174570</v>
      </c>
      <c r="B187">
        <v>2</v>
      </c>
      <c r="C187" t="s">
        <v>196</v>
      </c>
      <c r="D187">
        <v>10.5218256</v>
      </c>
      <c r="E187">
        <v>14.163995999999999</v>
      </c>
      <c r="F187">
        <v>34.615384615384592</v>
      </c>
      <c r="G187">
        <v>3.65</v>
      </c>
    </row>
    <row r="188" spans="1:7" x14ac:dyDescent="0.2">
      <c r="A188">
        <v>1747744456017</v>
      </c>
      <c r="B188">
        <v>2</v>
      </c>
      <c r="C188" t="s">
        <v>196</v>
      </c>
      <c r="D188">
        <v>10.9265112</v>
      </c>
      <c r="E188">
        <v>15.7827384</v>
      </c>
      <c r="F188">
        <v>44.444444444444443</v>
      </c>
      <c r="G188">
        <v>1.99</v>
      </c>
    </row>
    <row r="189" spans="1:7" x14ac:dyDescent="0.2">
      <c r="A189">
        <v>1748863964873</v>
      </c>
      <c r="B189">
        <v>2</v>
      </c>
      <c r="C189" t="s">
        <v>196</v>
      </c>
      <c r="D189">
        <v>20.234279999999998</v>
      </c>
      <c r="E189">
        <v>18.6155376</v>
      </c>
      <c r="F189">
        <v>-7.9999999999999929</v>
      </c>
      <c r="G189">
        <v>2.57</v>
      </c>
    </row>
    <row r="190" spans="1:7" x14ac:dyDescent="0.2">
      <c r="A190">
        <v>1746017574385</v>
      </c>
      <c r="B190">
        <v>1</v>
      </c>
      <c r="C190" t="s">
        <v>195</v>
      </c>
      <c r="D190">
        <v>12.140568</v>
      </c>
      <c r="E190">
        <v>16.457214400000002</v>
      </c>
      <c r="F190">
        <v>35.555555555555557</v>
      </c>
      <c r="G190">
        <v>17.25</v>
      </c>
    </row>
    <row r="191" spans="1:7" x14ac:dyDescent="0.2">
      <c r="A191">
        <v>1747213298587</v>
      </c>
      <c r="B191">
        <v>2</v>
      </c>
      <c r="C191" t="s">
        <v>196</v>
      </c>
      <c r="D191">
        <v>12.545253600000001</v>
      </c>
      <c r="E191">
        <v>15.7827384</v>
      </c>
      <c r="F191">
        <v>25.806451612903231</v>
      </c>
      <c r="G191">
        <v>4.78</v>
      </c>
    </row>
    <row r="192" spans="1:7" x14ac:dyDescent="0.2">
      <c r="A192">
        <v>1747297386536</v>
      </c>
      <c r="B192">
        <v>2</v>
      </c>
      <c r="C192" t="s">
        <v>196</v>
      </c>
      <c r="D192">
        <v>6.0702839999999991</v>
      </c>
      <c r="E192">
        <v>6.4749695999999997</v>
      </c>
      <c r="F192">
        <v>6.6666666666666767</v>
      </c>
      <c r="G192">
        <v>5.78</v>
      </c>
    </row>
    <row r="193" spans="1:7" x14ac:dyDescent="0.2">
      <c r="A193">
        <v>1746428395232</v>
      </c>
      <c r="B193">
        <v>2</v>
      </c>
      <c r="C193" t="s">
        <v>196</v>
      </c>
      <c r="D193">
        <v>11.735882399999999</v>
      </c>
      <c r="E193">
        <v>16.187424</v>
      </c>
      <c r="F193">
        <v>37.931034482758648</v>
      </c>
      <c r="G193">
        <v>5.63</v>
      </c>
    </row>
    <row r="194" spans="1:7" x14ac:dyDescent="0.2">
      <c r="A194">
        <v>1747643909798</v>
      </c>
      <c r="B194">
        <v>2</v>
      </c>
      <c r="C194" t="s">
        <v>196</v>
      </c>
      <c r="D194">
        <v>9.7124543999999986</v>
      </c>
      <c r="E194">
        <v>16.592109600000001</v>
      </c>
      <c r="F194">
        <v>70.833333333333329</v>
      </c>
      <c r="G194">
        <v>5.13</v>
      </c>
    </row>
    <row r="195" spans="1:7" x14ac:dyDescent="0.2">
      <c r="A195">
        <v>1747130504173</v>
      </c>
      <c r="B195">
        <v>2</v>
      </c>
      <c r="C195" t="s">
        <v>196</v>
      </c>
      <c r="D195">
        <v>11.735882399999999</v>
      </c>
      <c r="E195">
        <v>12.949939199999999</v>
      </c>
      <c r="F195">
        <v>10.344827586206909</v>
      </c>
      <c r="G195">
        <v>6.62</v>
      </c>
    </row>
    <row r="196" spans="1:7" x14ac:dyDescent="0.2">
      <c r="A196">
        <v>1747822058750</v>
      </c>
      <c r="B196">
        <v>2</v>
      </c>
      <c r="C196" t="s">
        <v>196</v>
      </c>
      <c r="D196">
        <v>8.093712</v>
      </c>
      <c r="E196">
        <v>15.378052800000001</v>
      </c>
      <c r="F196">
        <v>89.999999999999986</v>
      </c>
      <c r="G196">
        <v>3.26</v>
      </c>
    </row>
    <row r="197" spans="1:7" x14ac:dyDescent="0.2">
      <c r="A197">
        <v>1730703382309</v>
      </c>
      <c r="B197">
        <v>2</v>
      </c>
      <c r="C197" t="s">
        <v>196</v>
      </c>
      <c r="D197">
        <v>5.6655984000000004</v>
      </c>
      <c r="E197">
        <v>7.2843407999999989</v>
      </c>
      <c r="F197">
        <v>28.571428571428541</v>
      </c>
      <c r="G197">
        <v>0.81</v>
      </c>
    </row>
    <row r="198" spans="1:7" x14ac:dyDescent="0.2">
      <c r="A198">
        <v>1747123346002</v>
      </c>
      <c r="B198">
        <v>2</v>
      </c>
      <c r="C198" t="s">
        <v>196</v>
      </c>
      <c r="D198">
        <v>10.9265112</v>
      </c>
      <c r="E198">
        <v>18.6155376</v>
      </c>
      <c r="F198">
        <v>70.370370370370367</v>
      </c>
      <c r="G198">
        <v>8.82</v>
      </c>
    </row>
    <row r="199" spans="1:7" x14ac:dyDescent="0.2">
      <c r="A199">
        <v>1727073145569</v>
      </c>
      <c r="B199">
        <v>2</v>
      </c>
      <c r="C199" t="s">
        <v>196</v>
      </c>
      <c r="D199">
        <v>12.140568</v>
      </c>
      <c r="E199">
        <v>12.949939199999999</v>
      </c>
      <c r="F199">
        <v>6.6666666666666767</v>
      </c>
      <c r="G199">
        <v>17.7</v>
      </c>
    </row>
    <row r="200" spans="1:7" x14ac:dyDescent="0.2">
      <c r="A200">
        <v>1747380417212</v>
      </c>
      <c r="B200">
        <v>2</v>
      </c>
      <c r="C200" t="s">
        <v>196</v>
      </c>
      <c r="D200">
        <v>12.949939199999999</v>
      </c>
      <c r="E200">
        <v>15.378052800000001</v>
      </c>
      <c r="F200">
        <v>18.75</v>
      </c>
      <c r="G200">
        <v>6.88</v>
      </c>
    </row>
    <row r="201" spans="1:7" x14ac:dyDescent="0.2">
      <c r="A201">
        <v>1747381013424</v>
      </c>
      <c r="B201">
        <v>2</v>
      </c>
      <c r="C201" t="s">
        <v>196</v>
      </c>
      <c r="D201">
        <v>16.187424</v>
      </c>
      <c r="E201">
        <v>23.471764799999999</v>
      </c>
      <c r="F201">
        <v>44.999999999999972</v>
      </c>
      <c r="G201">
        <v>6.25</v>
      </c>
    </row>
    <row r="202" spans="1:7" x14ac:dyDescent="0.2">
      <c r="A202">
        <v>1748586382974</v>
      </c>
      <c r="B202">
        <v>2</v>
      </c>
      <c r="C202" t="s">
        <v>196</v>
      </c>
      <c r="D202">
        <v>10.5218256</v>
      </c>
      <c r="E202">
        <v>14.5686816</v>
      </c>
      <c r="F202">
        <v>38.461538461538453</v>
      </c>
      <c r="G202">
        <v>22.85</v>
      </c>
    </row>
    <row r="203" spans="1:7" x14ac:dyDescent="0.2">
      <c r="A203">
        <v>1726732836903</v>
      </c>
      <c r="B203">
        <v>2</v>
      </c>
      <c r="C203" t="s">
        <v>196</v>
      </c>
      <c r="D203">
        <v>33.184219199999987</v>
      </c>
      <c r="E203">
        <v>18.6155376</v>
      </c>
      <c r="F203">
        <v>-43.902439024390233</v>
      </c>
      <c r="G203">
        <v>5.92</v>
      </c>
    </row>
    <row r="204" spans="1:7" x14ac:dyDescent="0.2">
      <c r="A204">
        <v>1747637899578</v>
      </c>
      <c r="B204">
        <v>2</v>
      </c>
      <c r="C204" t="s">
        <v>196</v>
      </c>
      <c r="D204">
        <v>12.140568</v>
      </c>
      <c r="E204">
        <v>12.545253600000001</v>
      </c>
      <c r="F204">
        <v>3.3333333333333379</v>
      </c>
      <c r="G204">
        <v>9.1999999999999993</v>
      </c>
    </row>
    <row r="205" spans="1:7" x14ac:dyDescent="0.2">
      <c r="A205">
        <v>1748941754893</v>
      </c>
      <c r="B205">
        <v>2</v>
      </c>
      <c r="C205" t="s">
        <v>196</v>
      </c>
      <c r="D205">
        <v>18.210851999999999</v>
      </c>
      <c r="E205">
        <v>25.090507200000001</v>
      </c>
      <c r="F205">
        <v>37.777777777777771</v>
      </c>
      <c r="G205">
        <v>29.31</v>
      </c>
    </row>
    <row r="206" spans="1:7" x14ac:dyDescent="0.2">
      <c r="A206">
        <v>1747117073734</v>
      </c>
      <c r="B206">
        <v>2</v>
      </c>
      <c r="C206" t="s">
        <v>196</v>
      </c>
      <c r="D206">
        <v>6.8796552000000002</v>
      </c>
      <c r="E206">
        <v>8.093712</v>
      </c>
      <c r="F206">
        <v>17.647058823529409</v>
      </c>
      <c r="G206">
        <v>9.24</v>
      </c>
    </row>
    <row r="207" spans="1:7" x14ac:dyDescent="0.2">
      <c r="A207">
        <v>1747474397613</v>
      </c>
      <c r="B207">
        <v>2</v>
      </c>
      <c r="C207" t="s">
        <v>196</v>
      </c>
      <c r="D207">
        <v>12.140568</v>
      </c>
      <c r="E207">
        <v>20.234279999999998</v>
      </c>
      <c r="F207">
        <v>66.666666666666671</v>
      </c>
      <c r="G207">
        <v>2.04</v>
      </c>
    </row>
    <row r="208" spans="1:7" x14ac:dyDescent="0.2">
      <c r="A208">
        <v>1748856560297</v>
      </c>
      <c r="B208">
        <v>2</v>
      </c>
      <c r="C208" t="s">
        <v>196</v>
      </c>
      <c r="D208">
        <v>13.7593104</v>
      </c>
      <c r="E208">
        <v>18.6155376</v>
      </c>
      <c r="F208">
        <v>35.294117647058812</v>
      </c>
      <c r="G208">
        <v>6</v>
      </c>
    </row>
    <row r="209" spans="1:7" x14ac:dyDescent="0.2">
      <c r="A209">
        <v>1747468972356</v>
      </c>
      <c r="B209">
        <v>2</v>
      </c>
      <c r="C209" t="s">
        <v>196</v>
      </c>
      <c r="D209">
        <v>14.163995999999999</v>
      </c>
      <c r="E209">
        <v>11.331196800000001</v>
      </c>
      <c r="F209">
        <v>-19.999999999999979</v>
      </c>
      <c r="G209">
        <v>5.91</v>
      </c>
    </row>
    <row r="210" spans="1:7" x14ac:dyDescent="0.2">
      <c r="A210">
        <v>1748578424712</v>
      </c>
      <c r="B210">
        <v>2</v>
      </c>
      <c r="C210" t="s">
        <v>196</v>
      </c>
      <c r="D210">
        <v>6.8796552000000002</v>
      </c>
      <c r="E210">
        <v>8.093712</v>
      </c>
      <c r="F210">
        <v>17.647058823529409</v>
      </c>
      <c r="G210">
        <v>7.27</v>
      </c>
    </row>
    <row r="211" spans="1:7" x14ac:dyDescent="0.2">
      <c r="A211">
        <v>1748587560548</v>
      </c>
      <c r="B211">
        <v>2</v>
      </c>
      <c r="C211" t="s">
        <v>196</v>
      </c>
      <c r="D211">
        <v>27.518620800000001</v>
      </c>
      <c r="E211">
        <v>32.374848</v>
      </c>
      <c r="F211">
        <v>17.647058823529409</v>
      </c>
      <c r="G211">
        <v>13.49</v>
      </c>
    </row>
    <row r="212" spans="1:7" x14ac:dyDescent="0.2">
      <c r="A212">
        <v>1748586231756</v>
      </c>
      <c r="B212">
        <v>2</v>
      </c>
      <c r="C212" t="s">
        <v>196</v>
      </c>
      <c r="D212">
        <v>10.117139999999999</v>
      </c>
      <c r="E212">
        <v>15.378052800000001</v>
      </c>
      <c r="F212">
        <v>52</v>
      </c>
      <c r="G212">
        <v>8.5</v>
      </c>
    </row>
    <row r="213" spans="1:7" x14ac:dyDescent="0.2">
      <c r="A213">
        <v>1748587086191</v>
      </c>
      <c r="B213">
        <v>2</v>
      </c>
      <c r="C213" t="s">
        <v>196</v>
      </c>
      <c r="D213">
        <v>10.9265112</v>
      </c>
      <c r="E213">
        <v>15.7827384</v>
      </c>
      <c r="F213">
        <v>44.444444444444443</v>
      </c>
      <c r="G213">
        <v>6.37</v>
      </c>
    </row>
    <row r="214" spans="1:7" x14ac:dyDescent="0.2">
      <c r="A214">
        <v>1749024028404</v>
      </c>
      <c r="B214">
        <v>2</v>
      </c>
      <c r="C214" t="s">
        <v>196</v>
      </c>
      <c r="D214">
        <v>12.545253600000001</v>
      </c>
      <c r="E214">
        <v>17.806166399999999</v>
      </c>
      <c r="F214">
        <v>41.935483870967737</v>
      </c>
      <c r="G214">
        <v>5.37</v>
      </c>
    </row>
    <row r="215" spans="1:7" x14ac:dyDescent="0.2">
      <c r="A215">
        <v>1726467260482</v>
      </c>
      <c r="B215">
        <v>2</v>
      </c>
      <c r="C215" t="s">
        <v>196</v>
      </c>
      <c r="D215">
        <v>10.5218256</v>
      </c>
      <c r="E215">
        <v>16.592109600000001</v>
      </c>
      <c r="F215">
        <v>57.692307692307658</v>
      </c>
      <c r="G215">
        <v>6.34</v>
      </c>
    </row>
    <row r="216" spans="1:7" x14ac:dyDescent="0.2">
      <c r="A216">
        <v>1743056465617</v>
      </c>
      <c r="B216">
        <v>4</v>
      </c>
      <c r="C216" t="s">
        <v>197</v>
      </c>
      <c r="D216">
        <v>16.592109600000001</v>
      </c>
      <c r="E216">
        <v>18.210851999999999</v>
      </c>
      <c r="F216">
        <v>9.7560975609756238</v>
      </c>
      <c r="G216">
        <v>8.35</v>
      </c>
    </row>
    <row r="217" spans="1:7" x14ac:dyDescent="0.2">
      <c r="A217">
        <v>1746258415029</v>
      </c>
      <c r="B217">
        <v>4</v>
      </c>
      <c r="C217" t="s">
        <v>197</v>
      </c>
      <c r="D217">
        <v>14.5686816</v>
      </c>
      <c r="E217">
        <v>16.996795200000001</v>
      </c>
      <c r="F217">
        <v>16.666666666666661</v>
      </c>
      <c r="G2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References</vt:lpstr>
      <vt:lpstr>Assumptions</vt:lpstr>
      <vt:lpstr>Net Income Calculation</vt:lpstr>
      <vt:lpstr>Table 1</vt:lpstr>
      <vt:lpstr>Figure 1c</vt:lpstr>
      <vt:lpstr>Base wise Kharif 2025</vt:lpstr>
      <vt:lpstr>Dataset 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jakejordan84@gmail.com</cp:lastModifiedBy>
  <cp:revision>0</cp:revision>
  <dcterms:created xsi:type="dcterms:W3CDTF">2026-04-08T15:12:51Z</dcterms:created>
  <dcterms:modified xsi:type="dcterms:W3CDTF">2026-05-30T22:08:44Z</dcterms:modified>
  <dc:language>en-US</dc:language>
</cp:coreProperties>
</file>